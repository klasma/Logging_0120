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46218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46218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46218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46218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46218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s="2" t="inlineStr">
        <is>
          <t>Gullklöver
Jungfrulin
Vippärt</t>
        </is>
      </c>
      <c r="V6">
        <f>HYPERLINK("https://klasma.github.io/Logging_0120/artfynd/A 33166-2023 artfynd.xlsx", "A 33166-2023")</f>
        <v/>
      </c>
      <c r="W6">
        <f>HYPERLINK("https://klasma.github.io/Logging_0120/kartor/A 33166-2023 karta.png", "A 33166-2023")</f>
        <v/>
      </c>
      <c r="Y6">
        <f>HYPERLINK("https://klasma.github.io/Logging_0120/klagomål/A 33166-2023 FSC-klagomål.docx", "A 33166-2023")</f>
        <v/>
      </c>
      <c r="Z6">
        <f>HYPERLINK("https://klasma.github.io/Logging_0120/klagomålsmail/A 33166-2023 FSC-klagomål mail.docx", "A 33166-2023")</f>
        <v/>
      </c>
      <c r="AA6">
        <f>HYPERLINK("https://klasma.github.io/Logging_0120/tillsyn/A 33166-2023 tillsynsbegäran.docx", "A 33166-2023")</f>
        <v/>
      </c>
      <c r="AB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46218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Klofibbla
Sårläka
Nästrot</t>
        </is>
      </c>
      <c r="V7">
        <f>HYPERLINK("https://klasma.github.io/Logging_0120/artfynd/A 31577-2025 artfynd.xlsx", "A 31577-2025")</f>
        <v/>
      </c>
      <c r="W7">
        <f>HYPERLINK("https://klasma.github.io/Logging_0120/kartor/A 31577-2025 karta.png", "A 31577-2025")</f>
        <v/>
      </c>
      <c r="Y7">
        <f>HYPERLINK("https://klasma.github.io/Logging_0120/klagomål/A 31577-2025 FSC-klagomål.docx", "A 31577-2025")</f>
        <v/>
      </c>
      <c r="Z7">
        <f>HYPERLINK("https://klasma.github.io/Logging_0120/klagomålsmail/A 31577-2025 FSC-klagomål mail.docx", "A 31577-2025")</f>
        <v/>
      </c>
      <c r="AA7">
        <f>HYPERLINK("https://klasma.github.io/Logging_0120/tillsyn/A 31577-2025 tillsynsbegäran.docx", "A 31577-2025")</f>
        <v/>
      </c>
      <c r="AB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46218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s="2" t="inlineStr">
        <is>
          <t>Ask
Vippärt</t>
        </is>
      </c>
      <c r="V8">
        <f>HYPERLINK("https://klasma.github.io/Logging_0120/artfynd/S 403-2021 artfynd.xlsx", "S 403-2021")</f>
        <v/>
      </c>
      <c r="W8">
        <f>HYPERLINK("https://klasma.github.io/Logging_0120/kartor/S 403-2021 karta.png", "S 403-2021")</f>
        <v/>
      </c>
      <c r="Y8">
        <f>HYPERLINK("https://klasma.github.io/Logging_0120/klagomål/S 403-2021 FSC-klagomål.docx", "S 403-2021")</f>
        <v/>
      </c>
      <c r="Z8">
        <f>HYPERLINK("https://klasma.github.io/Logging_0120/klagomålsmail/S 403-2021 FSC-klagomål mail.docx", "S 403-2021")</f>
        <v/>
      </c>
      <c r="AA8">
        <f>HYPERLINK("https://klasma.github.io/Logging_0120/tillsyn/S 403-2021 tillsynsbegäran.docx", "S 403-2021")</f>
        <v/>
      </c>
      <c r="AB8">
        <f>HYPERLINK("https://klasma.github.io/Logging_0120/tillsynsmail/S 403-2021 tillsynsbegäran mail.docx", "S 403-2021")</f>
        <v/>
      </c>
    </row>
    <row r="9" ht="15" customHeight="1">
      <c r="A9" t="inlineStr">
        <is>
          <t>A 72108-2021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44544</v>
      </c>
      <c r="E9" s="1" t="n">
        <v>46218</v>
      </c>
      <c r="F9" t="inlineStr">
        <is>
          <t>STOCKHOLMS LÄN</t>
        </is>
      </c>
      <c r="G9" t="inlineStr">
        <is>
          <t>VÄRMDÖ</t>
        </is>
      </c>
      <c r="I9" t="n">
        <v>1.6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Jungfrulin</t>
        </is>
      </c>
      <c r="V9">
        <f>HYPERLINK("https://klasma.github.io/Logging_0120/artfynd/A 72108-2021 artfynd.xlsx", "A 72108-2021")</f>
        <v/>
      </c>
      <c r="W9">
        <f>HYPERLINK("https://klasma.github.io/Logging_0120/kartor/A 72108-2021 karta.png", "A 72108-2021")</f>
        <v/>
      </c>
      <c r="Y9">
        <f>HYPERLINK("https://klasma.github.io/Logging_0120/klagomål/A 72108-2021 FSC-klagomål.docx", "A 72108-2021")</f>
        <v/>
      </c>
      <c r="Z9">
        <f>HYPERLINK("https://klasma.github.io/Logging_0120/klagomålsmail/A 72108-2021 FSC-klagomål mail.docx", "A 72108-2021")</f>
        <v/>
      </c>
      <c r="AA9">
        <f>HYPERLINK("https://klasma.github.io/Logging_0120/tillsyn/A 72108-2021 tillsynsbegäran.docx", "A 72108-2021")</f>
        <v/>
      </c>
      <c r="AB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44412</v>
      </c>
      <c r="E10" s="1" t="n">
        <v>46218</v>
      </c>
      <c r="F10" t="inlineStr">
        <is>
          <t>STOCKHOLMS LÄN</t>
        </is>
      </c>
      <c r="G10" t="inlineStr">
        <is>
          <t>VÄRMDÖ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Trana</t>
        </is>
      </c>
      <c r="V10">
        <f>HYPERLINK("https://klasma.github.io/Logging_0120/artfynd/A 39073-2021 artfynd.xlsx", "A 39073-2021")</f>
        <v/>
      </c>
      <c r="W10">
        <f>HYPERLINK("https://klasma.github.io/Logging_0120/kartor/A 39073-2021 karta.png", "A 39073-2021")</f>
        <v/>
      </c>
      <c r="Y10">
        <f>HYPERLINK("https://klasma.github.io/Logging_0120/klagomål/A 39073-2021 FSC-klagomål.docx", "A 39073-2021")</f>
        <v/>
      </c>
      <c r="Z10">
        <f>HYPERLINK("https://klasma.github.io/Logging_0120/klagomålsmail/A 39073-2021 FSC-klagomål mail.docx", "A 39073-2021")</f>
        <v/>
      </c>
      <c r="AA10">
        <f>HYPERLINK("https://klasma.github.io/Logging_0120/tillsyn/A 39073-2021 tillsynsbegäran.docx", "A 39073-2021")</f>
        <v/>
      </c>
      <c r="AB10">
        <f>HYPERLINK("https://klasma.github.io/Logging_0120/tillsynsmail/A 39073-2021 tillsynsbegäran mail.docx", "A 39073-2021")</f>
        <v/>
      </c>
      <c r="AC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46218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Sårläka</t>
        </is>
      </c>
      <c r="V11">
        <f>HYPERLINK("https://klasma.github.io/Logging_0120/artfynd/A 71315-2021 artfynd.xlsx", "A 71315-2021")</f>
        <v/>
      </c>
      <c r="W11">
        <f>HYPERLINK("https://klasma.github.io/Logging_0120/kartor/A 71315-2021 karta.png", "A 71315-2021")</f>
        <v/>
      </c>
      <c r="Y11">
        <f>HYPERLINK("https://klasma.github.io/Logging_0120/klagomål/A 71315-2021 FSC-klagomål.docx", "A 71315-2021")</f>
        <v/>
      </c>
      <c r="Z11">
        <f>HYPERLINK("https://klasma.github.io/Logging_0120/klagomålsmail/A 71315-2021 FSC-klagomål mail.docx", "A 71315-2021")</f>
        <v/>
      </c>
      <c r="AA11">
        <f>HYPERLINK("https://klasma.github.io/Logging_0120/tillsyn/A 71315-2021 tillsynsbegäran.docx", "A 71315-2021")</f>
        <v/>
      </c>
      <c r="AB11">
        <f>HYPERLINK("https://klasma.github.io/Logging_0120/tillsynsmail/A 71315-2021 tillsynsbegäran mail.docx", "A 71315-2021")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46218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Spillkråka</t>
        </is>
      </c>
      <c r="V12">
        <f>HYPERLINK("https://klasma.github.io/Logging_0120/artfynd/A 33046-2022 artfynd.xlsx", "A 33046-2022")</f>
        <v/>
      </c>
      <c r="W12">
        <f>HYPERLINK("https://klasma.github.io/Logging_0120/kartor/A 33046-2022 karta.png", "A 33046-2022")</f>
        <v/>
      </c>
      <c r="Y12">
        <f>HYPERLINK("https://klasma.github.io/Logging_0120/klagomål/A 33046-2022 FSC-klagomål.docx", "A 33046-2022")</f>
        <v/>
      </c>
      <c r="Z12">
        <f>HYPERLINK("https://klasma.github.io/Logging_0120/klagomålsmail/A 33046-2022 FSC-klagomål mail.docx", "A 33046-2022")</f>
        <v/>
      </c>
      <c r="AA12">
        <f>HYPERLINK("https://klasma.github.io/Logging_0120/tillsyn/A 33046-2022 tillsynsbegäran.docx", "A 33046-2022")</f>
        <v/>
      </c>
      <c r="AB12">
        <f>HYPERLINK("https://klasma.github.io/Logging_0120/tillsynsmail/A 33046-2022 tillsynsbegäran mail.docx", "A 33046-2022")</f>
        <v/>
      </c>
      <c r="AC12">
        <f>HYPERLINK("https://klasma.github.io/Logging_0120/fåglar/A 33046-2022 prioriterade fågelarter.docx", "A 33046-2022")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46218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Igelkott</t>
        </is>
      </c>
      <c r="V13">
        <f>HYPERLINK("https://klasma.github.io/Logging_0120/artfynd/A 20373-2025 artfynd.xlsx", "A 20373-2025")</f>
        <v/>
      </c>
      <c r="W13">
        <f>HYPERLINK("https://klasma.github.io/Logging_0120/kartor/A 20373-2025 karta.png", "A 20373-2025")</f>
        <v/>
      </c>
      <c r="Y13">
        <f>HYPERLINK("https://klasma.github.io/Logging_0120/klagomål/A 20373-2025 FSC-klagomål.docx", "A 20373-2025")</f>
        <v/>
      </c>
      <c r="Z13">
        <f>HYPERLINK("https://klasma.github.io/Logging_0120/klagomålsmail/A 20373-2025 FSC-klagomål mail.docx", "A 20373-2025")</f>
        <v/>
      </c>
      <c r="AA13">
        <f>HYPERLINK("https://klasma.github.io/Logging_0120/tillsyn/A 20373-2025 tillsynsbegäran.docx", "A 20373-2025")</f>
        <v/>
      </c>
      <c r="AB13">
        <f>HYPERLINK("https://klasma.github.io/Logging_0120/tillsynsmail/A 20373-2025 tillsynsbegäran mail.docx", "A 20373-2025")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46218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Lunglav</t>
        </is>
      </c>
      <c r="V14">
        <f>HYPERLINK("https://klasma.github.io/Logging_0120/artfynd/A 30154-2022 artfynd.xlsx", "A 30154-2022")</f>
        <v/>
      </c>
      <c r="W14">
        <f>HYPERLINK("https://klasma.github.io/Logging_0120/kartor/A 30154-2022 karta.png", "A 30154-2022")</f>
        <v/>
      </c>
      <c r="Y14">
        <f>HYPERLINK("https://klasma.github.io/Logging_0120/klagomål/A 30154-2022 FSC-klagomål.docx", "A 30154-2022")</f>
        <v/>
      </c>
      <c r="Z14">
        <f>HYPERLINK("https://klasma.github.io/Logging_0120/klagomålsmail/A 30154-2022 FSC-klagomål mail.docx", "A 30154-2022")</f>
        <v/>
      </c>
      <c r="AA14">
        <f>HYPERLINK("https://klasma.github.io/Logging_0120/tillsyn/A 30154-2022 tillsynsbegäran.docx", "A 30154-2022")</f>
        <v/>
      </c>
      <c r="AB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46218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HYPERLINK("https://klasma.github.io/Logging_0120/artfynd/A 31593-2025 artfynd.xlsx", "A 31593-2025")</f>
        <v/>
      </c>
      <c r="W15">
        <f>HYPERLINK("https://klasma.github.io/Logging_0120/kartor/A 31593-2025 karta.png", "A 31593-2025")</f>
        <v/>
      </c>
      <c r="Y15">
        <f>HYPERLINK("https://klasma.github.io/Logging_0120/klagomål/A 31593-2025 FSC-klagomål.docx", "A 31593-2025")</f>
        <v/>
      </c>
      <c r="Z15">
        <f>HYPERLINK("https://klasma.github.io/Logging_0120/klagomålsmail/A 31593-2025 FSC-klagomål mail.docx", "A 31593-2025")</f>
        <v/>
      </c>
      <c r="AA15">
        <f>HYPERLINK("https://klasma.github.io/Logging_0120/tillsyn/A 31593-2025 tillsynsbegäran.docx", "A 31593-2025")</f>
        <v/>
      </c>
      <c r="AB15">
        <f>HYPERLINK("https://klasma.github.io/Logging_0120/tillsynsmail/A 31593-2025 tillsynsbegäran mail.docx", "A 31593-2025")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46218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Tallticka</t>
        </is>
      </c>
      <c r="V16">
        <f>HYPERLINK("https://klasma.github.io/Logging_0120/artfynd/A 54056-2022 artfynd.xlsx", "A 54056-2022")</f>
        <v/>
      </c>
      <c r="W16">
        <f>HYPERLINK("https://klasma.github.io/Logging_0120/kartor/A 54056-2022 karta.png", "A 54056-2022")</f>
        <v/>
      </c>
      <c r="Y16">
        <f>HYPERLINK("https://klasma.github.io/Logging_0120/klagomål/A 54056-2022 FSC-klagomål.docx", "A 54056-2022")</f>
        <v/>
      </c>
      <c r="Z16">
        <f>HYPERLINK("https://klasma.github.io/Logging_0120/klagomålsmail/A 54056-2022 FSC-klagomål mail.docx", "A 54056-2022")</f>
        <v/>
      </c>
      <c r="AA16">
        <f>HYPERLINK("https://klasma.github.io/Logging_0120/tillsyn/A 54056-2022 tillsynsbegäran.docx", "A 54056-2022")</f>
        <v/>
      </c>
      <c r="AB16">
        <f>HYPERLINK("https://klasma.github.io/Logging_0120/tillsynsmail/A 54056-2022 tillsynsbegäran mail.docx", "A 54056-2022")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46218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s="2" t="inlineStr">
        <is>
          <t>Tallticka</t>
        </is>
      </c>
      <c r="V17">
        <f>HYPERLINK("https://klasma.github.io/Logging_0120/artfynd/A 28354-2026 artfynd.xlsx", "A 28354-2026")</f>
        <v/>
      </c>
      <c r="W17">
        <f>HYPERLINK("https://klasma.github.io/Logging_0120/kartor/A 28354-2026 karta.png", "A 28354-2026")</f>
        <v/>
      </c>
      <c r="Y17">
        <f>HYPERLINK("https://klasma.github.io/Logging_0120/klagomål/A 28354-2026 FSC-klagomål.docx", "A 28354-2026")</f>
        <v/>
      </c>
      <c r="Z17">
        <f>HYPERLINK("https://klasma.github.io/Logging_0120/klagomålsmail/A 28354-2026 FSC-klagomål mail.docx", "A 28354-2026")</f>
        <v/>
      </c>
      <c r="AA17">
        <f>HYPERLINK("https://klasma.github.io/Logging_0120/tillsyn/A 28354-2026 tillsynsbegäran.docx", "A 28354-2026")</f>
        <v/>
      </c>
      <c r="AB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46218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HYPERLINK("https://klasma.github.io/Logging_0120/artfynd/S 2554-2025 artfynd.xlsx", "S 2554-2025")</f>
        <v/>
      </c>
      <c r="W18">
        <f>HYPERLINK("https://klasma.github.io/Logging_0120/kartor/S 2554-2025 karta.png", "S 2554-2025")</f>
        <v/>
      </c>
      <c r="Y18">
        <f>HYPERLINK("https://klasma.github.io/Logging_0120/klagomål/S 2554-2025 FSC-klagomål.docx", "S 2554-2025")</f>
        <v/>
      </c>
      <c r="Z18">
        <f>HYPERLINK("https://klasma.github.io/Logging_0120/klagomålsmail/S 2554-2025 FSC-klagomål mail.docx", "S 2554-2025")</f>
        <v/>
      </c>
      <c r="AA18">
        <f>HYPERLINK("https://klasma.github.io/Logging_0120/tillsyn/S 2554-2025 tillsynsbegäran.docx", "S 2554-2025")</f>
        <v/>
      </c>
      <c r="AB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46218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46218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46218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46218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46218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46218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46218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46218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9966-2024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45363</v>
      </c>
      <c r="E27" s="1" t="n">
        <v>46218</v>
      </c>
      <c r="F27" t="inlineStr">
        <is>
          <t>STOCKHOLMS LÄN</t>
        </is>
      </c>
      <c r="G27" t="inlineStr">
        <is>
          <t>VÄRMDÖ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46218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46218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32286-2023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45120</v>
      </c>
      <c r="E30" s="1" t="n">
        <v>46218</v>
      </c>
      <c r="F30" t="inlineStr">
        <is>
          <t>STOCKHOLMS LÄN</t>
        </is>
      </c>
      <c r="G30" t="inlineStr">
        <is>
          <t>VÄRMDÖ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39082-2021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44412</v>
      </c>
      <c r="E31" s="1" t="n">
        <v>46218</v>
      </c>
      <c r="F31" t="inlineStr">
        <is>
          <t>STOCKHOLMS LÄN</t>
        </is>
      </c>
      <c r="G31" t="inlineStr">
        <is>
          <t>VÄRMDÖ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46218</v>
      </c>
      <c r="F32" t="inlineStr">
        <is>
          <t>STOCKHOLMS LÄN</t>
        </is>
      </c>
      <c r="G32" t="inlineStr">
        <is>
          <t>VÄRMDÖ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46218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46218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46218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32458-2023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46218</v>
      </c>
      <c r="F36" t="inlineStr">
        <is>
          <t>STOCKHOLMS LÄN</t>
        </is>
      </c>
      <c r="G36" t="inlineStr">
        <is>
          <t>VÄRMDÖ</t>
        </is>
      </c>
      <c r="I36" t="n">
        <v>12.5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36148-2023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46218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32230-2025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46218</v>
      </c>
      <c r="F38" t="inlineStr">
        <is>
          <t>STOCKHOLMS LÄN</t>
        </is>
      </c>
      <c r="G38" t="inlineStr">
        <is>
          <t>VÄRMDÖ</t>
        </is>
      </c>
      <c r="I38" t="n">
        <v>7.9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46218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30002-2023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45109</v>
      </c>
      <c r="E40" s="1" t="n">
        <v>46218</v>
      </c>
      <c r="F40" t="inlineStr">
        <is>
          <t>STOCKHOLMS LÄN</t>
        </is>
      </c>
      <c r="G40" t="inlineStr">
        <is>
          <t>VÄRMDÖ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17623-2024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45417</v>
      </c>
      <c r="E41" s="1" t="n">
        <v>46218</v>
      </c>
      <c r="F41" t="inlineStr">
        <is>
          <t>STOCKHOLMS LÄN</t>
        </is>
      </c>
      <c r="G41" t="inlineStr">
        <is>
          <t>VÄRMDÖ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33061-2024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45517</v>
      </c>
      <c r="E42" s="1" t="n">
        <v>46218</v>
      </c>
      <c r="F42" t="inlineStr">
        <is>
          <t>STOCKHOLMS LÄN</t>
        </is>
      </c>
      <c r="G42" t="inlineStr">
        <is>
          <t>VÄRMDÖ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20053-2023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46218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Aktiebolag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46218</v>
      </c>
      <c r="F44" t="inlineStr">
        <is>
          <t>STOCKHOLMS LÄN</t>
        </is>
      </c>
      <c r="G44" t="inlineStr">
        <is>
          <t>VÄRMDÖ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46218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2392-2024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46218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378-2025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46218</v>
      </c>
      <c r="F47" t="inlineStr">
        <is>
          <t>STOCKHOLMS LÄN</t>
        </is>
      </c>
      <c r="G47" t="inlineStr">
        <is>
          <t>VÄRMDÖ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2391-2024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45468</v>
      </c>
      <c r="E48" s="1" t="n">
        <v>46218</v>
      </c>
      <c r="F48" t="inlineStr">
        <is>
          <t>STOCKHOLMS LÄN</t>
        </is>
      </c>
      <c r="G48" t="inlineStr">
        <is>
          <t>VÄRMDÖ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2699-2024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46218</v>
      </c>
      <c r="F49" t="inlineStr">
        <is>
          <t>STOCKHOLMS LÄN</t>
        </is>
      </c>
      <c r="G49" t="inlineStr">
        <is>
          <t>VÄRMDÖ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377-2025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46218</v>
      </c>
      <c r="F50" t="inlineStr">
        <is>
          <t>STOCKHOLMS LÄN</t>
        </is>
      </c>
      <c r="G50" t="inlineStr">
        <is>
          <t>VÄRMDÖ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46218</v>
      </c>
      <c r="F51" t="inlineStr">
        <is>
          <t>STOCKHOLMS LÄN</t>
        </is>
      </c>
      <c r="G51" t="inlineStr">
        <is>
          <t>VÄRMDÖ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370-2025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46218</v>
      </c>
      <c r="F52" t="inlineStr">
        <is>
          <t>STOCKHOLMS LÄN</t>
        </is>
      </c>
      <c r="G52" t="inlineStr">
        <is>
          <t>VÄRMDÖ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2698-2024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45482</v>
      </c>
      <c r="E53" s="1" t="n">
        <v>46218</v>
      </c>
      <c r="F53" t="inlineStr">
        <is>
          <t>STOCKHOLMS LÄN</t>
        </is>
      </c>
      <c r="G53" t="inlineStr">
        <is>
          <t>VÄRMDÖ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>
      <c r="A54" t="inlineStr">
        <is>
          <t>S 374-2025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45695</v>
      </c>
      <c r="E54" s="1" t="n">
        <v>46218</v>
      </c>
      <c r="F54" t="inlineStr">
        <is>
          <t>STOCKHOLMS LÄN</t>
        </is>
      </c>
      <c r="G54" t="inlineStr">
        <is>
          <t>VÄRMDÖ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