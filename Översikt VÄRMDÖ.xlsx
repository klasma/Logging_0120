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46004-2023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45196</v>
      </c>
      <c r="E2" s="1" t="n">
        <v>46321</v>
      </c>
      <c r="F2" t="inlineStr">
        <is>
          <t>STOCKHOLMS LÄN</t>
        </is>
      </c>
      <c r="G2" t="inlineStr">
        <is>
          <t>VÄRMDÖ</t>
        </is>
      </c>
      <c r="I2" t="n">
        <v>12.3</v>
      </c>
      <c r="J2" t="n">
        <v>4</v>
      </c>
      <c r="K2" t="n">
        <v>5</v>
      </c>
      <c r="L2" t="n">
        <v>4</v>
      </c>
      <c r="M2" t="n">
        <v>1</v>
      </c>
      <c r="N2" t="n">
        <v>0</v>
      </c>
      <c r="O2" t="n">
        <v>0</v>
      </c>
      <c r="P2" t="n">
        <v>0</v>
      </c>
      <c r="Q2" t="n">
        <v>5</v>
      </c>
      <c r="R2" t="n">
        <v>1</v>
      </c>
      <c r="S2" t="n">
        <v>12</v>
      </c>
      <c r="T2" t="n">
        <v>22</v>
      </c>
      <c r="U2" t="n">
        <v>20</v>
      </c>
      <c r="V2" s="2" t="inlineStr">
        <is>
          <t>Knärot
Reliktbock
Sårläka
Tallticka
Talltita
Björksplintborre
Bronshjon
Granbarkgnagare
Thomsons trägnagare
Trådticka
Blåsippa
Spillkråka</t>
        </is>
      </c>
      <c r="W2">
        <f>HYPERLINK("https://klasma.github.io/Logging_0120/artfynd/A 46004-2023 artfynd.xlsx", "A 46004-2023")</f>
        <v/>
      </c>
      <c r="X2">
        <f>HYPERLINK("https://klasma.github.io/Logging_0120/kartor/A 46004-2023 karta.png", "A 46004-2023")</f>
        <v/>
      </c>
      <c r="Y2">
        <f>HYPERLINK("https://klasma.github.io/Logging_0120/kartor_geotiff/A 46004-2023 georefererad karta.tif", "A 46004-2023")</f>
        <v/>
      </c>
      <c r="Z2">
        <f>HYPERLINK("https://klasma.github.io/Logging_0120/knärot/A 46004-2023 karta knärot.png", "A 46004-2023")</f>
        <v/>
      </c>
      <c r="AA2">
        <f>HYPERLINK("https://klasma.github.io/Logging_0120/klagomål/A 46004-2023 FSC-klagomål.docx", "A 46004-2023")</f>
        <v/>
      </c>
      <c r="AB2">
        <f>HYPERLINK("https://klasma.github.io/Logging_0120/klagomålsmail/A 46004-2023 FSC-klagomål mail.docx", "A 46004-2023")</f>
        <v/>
      </c>
      <c r="AC2">
        <f>HYPERLINK("https://klasma.github.io/Logging_0120/tillsyn/A 46004-2023 tillsynsbegäran.docx", "A 46004-2023")</f>
        <v/>
      </c>
      <c r="AD2">
        <f>HYPERLINK("https://klasma.github.io/Logging_0120/tillsynsmail/A 46004-2023 tillsynsbegäran mail.docx", "A 46004-2023")</f>
        <v/>
      </c>
      <c r="AE2">
        <f>HYPERLINK("https://klasma.github.io/Logging_0120/fåglar/A 46004-2023 prioriterade fågelarter.docx", "A 46004-2023")</f>
        <v/>
      </c>
    </row>
    <row r="3" ht="15" customHeight="1">
      <c r="A3" t="inlineStr">
        <is>
          <t>A 23767-2026</t>
        </is>
      </c>
      <c r="B3" t="inlineStr">
        <is>
          <t>avverkningsanmälan</t>
        </is>
      </c>
      <c r="C3" t="inlineStr">
        <is>
          <t>Avverkning för att bevara och utveckla /försöksver</t>
        </is>
      </c>
      <c r="D3" s="1" t="n">
        <v>46164</v>
      </c>
      <c r="E3" s="1" t="n">
        <v>46321</v>
      </c>
      <c r="F3" t="inlineStr">
        <is>
          <t>STOCKHOLMS LÄN</t>
        </is>
      </c>
      <c r="G3" t="inlineStr">
        <is>
          <t>VÄRMDÖ</t>
        </is>
      </c>
      <c r="I3" t="n">
        <v>5.1</v>
      </c>
      <c r="J3" t="n">
        <v>0</v>
      </c>
      <c r="K3" t="n">
        <v>3</v>
      </c>
      <c r="L3" t="n">
        <v>3</v>
      </c>
      <c r="M3" t="n">
        <v>2</v>
      </c>
      <c r="N3" t="n">
        <v>1</v>
      </c>
      <c r="O3" t="n">
        <v>0</v>
      </c>
      <c r="P3" t="n">
        <v>0</v>
      </c>
      <c r="Q3" t="n">
        <v>6</v>
      </c>
      <c r="R3" t="n">
        <v>3</v>
      </c>
      <c r="S3" t="n">
        <v>9</v>
      </c>
      <c r="T3" t="n">
        <v>17</v>
      </c>
      <c r="U3" t="n">
        <v>0</v>
      </c>
      <c r="V3" s="2" t="inlineStr">
        <is>
          <t>Blylav
Klosterlav
Mörk kraterlav
Lunglav
Sårläka
Vårärt
Strävlosta
Svart trolldruva
Tibast</t>
        </is>
      </c>
      <c r="W3">
        <f>HYPERLINK("https://klasma.github.io/Logging_0120/artfynd/A 23767-2026 artfynd.xlsx", "A 23767-2026")</f>
        <v/>
      </c>
      <c r="X3">
        <f>HYPERLINK("https://klasma.github.io/Logging_0120/kartor/A 23767-2026 karta.png", "A 23767-2026")</f>
        <v/>
      </c>
      <c r="Y3">
        <f>HYPERLINK("https://klasma.github.io/Logging_0120/kartor_geotiff/A 23767-2026 georefererad karta.tif", "A 23767-2026")</f>
        <v/>
      </c>
      <c r="AA3">
        <f>HYPERLINK("https://klasma.github.io/Logging_0120/klagomål/A 23767-2026 FSC-klagomål.docx", "A 23767-2026")</f>
        <v/>
      </c>
      <c r="AB3">
        <f>HYPERLINK("https://klasma.github.io/Logging_0120/klagomålsmail/A 23767-2026 FSC-klagomål mail.docx", "A 23767-2026")</f>
        <v/>
      </c>
      <c r="AC3">
        <f>HYPERLINK("https://klasma.github.io/Logging_0120/tillsyn/A 23767-2026 tillsynsbegäran.docx", "A 23767-2026")</f>
        <v/>
      </c>
      <c r="AD3">
        <f>HYPERLINK("https://klasma.github.io/Logging_0120/tillsynsmail/A 23767-2026 tillsynsbegäran mail.docx", "A 23767-2026")</f>
        <v/>
      </c>
    </row>
    <row r="4" ht="15" customHeight="1">
      <c r="A4" t="inlineStr">
        <is>
          <t>A 72176-2021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44544</v>
      </c>
      <c r="E4" s="1" t="n">
        <v>46321</v>
      </c>
      <c r="F4" t="inlineStr">
        <is>
          <t>STOCKHOLMS LÄN</t>
        </is>
      </c>
      <c r="G4" t="inlineStr">
        <is>
          <t>VÄRMDÖ</t>
        </is>
      </c>
      <c r="I4" t="n">
        <v>2.6</v>
      </c>
      <c r="J4" t="n">
        <v>0</v>
      </c>
      <c r="K4" t="n">
        <v>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</v>
      </c>
      <c r="T4" t="n">
        <v>4</v>
      </c>
      <c r="U4" t="n">
        <v>4</v>
      </c>
      <c r="V4" s="2" t="inlineStr">
        <is>
          <t>Blodvaxing
Luktvaxing
Toppvaxing
Vitvaxing agg.</t>
        </is>
      </c>
      <c r="W4">
        <f>HYPERLINK("https://klasma.github.io/Logging_0120/artfynd/A 72176-2021 artfynd.xlsx", "A 72176-2021")</f>
        <v/>
      </c>
      <c r="X4">
        <f>HYPERLINK("https://klasma.github.io/Logging_0120/kartor/A 72176-2021 karta.png", "A 72176-2021")</f>
        <v/>
      </c>
      <c r="Y4">
        <f>HYPERLINK("https://klasma.github.io/Logging_0120/kartor_geotiff/A 72176-2021 georefererad karta.tif", "A 72176-2021")</f>
        <v/>
      </c>
      <c r="AA4">
        <f>HYPERLINK("https://klasma.github.io/Logging_0120/klagomål/A 72176-2021 FSC-klagomål.docx", "A 72176-2021")</f>
        <v/>
      </c>
      <c r="AB4">
        <f>HYPERLINK("https://klasma.github.io/Logging_0120/klagomålsmail/A 72176-2021 FSC-klagomål mail.docx", "A 72176-2021")</f>
        <v/>
      </c>
      <c r="AC4">
        <f>HYPERLINK("https://klasma.github.io/Logging_0120/tillsyn/A 72176-2021 tillsynsbegäran.docx", "A 72176-2021")</f>
        <v/>
      </c>
      <c r="AD4">
        <f>HYPERLINK("https://klasma.github.io/Logging_0120/tillsynsmail/A 72176-2021 tillsynsbegäran mail.docx", "A 72176-2021")</f>
        <v/>
      </c>
    </row>
    <row r="5" ht="15" customHeight="1">
      <c r="A5" t="inlineStr">
        <is>
          <t>A 48658-2022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44859</v>
      </c>
      <c r="E5" s="1" t="n">
        <v>46321</v>
      </c>
      <c r="F5" t="inlineStr">
        <is>
          <t>STOCKHOLMS LÄN</t>
        </is>
      </c>
      <c r="G5" t="inlineStr">
        <is>
          <t>VÄRMDÖ</t>
        </is>
      </c>
      <c r="I5" t="n">
        <v>4.2</v>
      </c>
      <c r="J5" t="n">
        <v>0</v>
      </c>
      <c r="K5" t="n">
        <v>1</v>
      </c>
      <c r="L5" t="n">
        <v>2</v>
      </c>
      <c r="M5" t="n">
        <v>0</v>
      </c>
      <c r="N5" t="n">
        <v>1</v>
      </c>
      <c r="O5" t="n">
        <v>0</v>
      </c>
      <c r="P5" t="n">
        <v>0</v>
      </c>
      <c r="Q5" t="n">
        <v>3</v>
      </c>
      <c r="R5" t="n">
        <v>1</v>
      </c>
      <c r="S5" t="n">
        <v>4</v>
      </c>
      <c r="T5" t="n">
        <v>5</v>
      </c>
      <c r="U5" t="n">
        <v>5</v>
      </c>
      <c r="V5" s="2" t="inlineStr">
        <is>
          <t>Ruttaggsvamp
Svartvit taggsvamp
Tallticka
Stor aspticka</t>
        </is>
      </c>
      <c r="W5">
        <f>HYPERLINK("https://klasma.github.io/Logging_0120/artfynd/A 48658-2022 artfynd.xlsx", "A 48658-2022")</f>
        <v/>
      </c>
      <c r="X5">
        <f>HYPERLINK("https://klasma.github.io/Logging_0120/kartor/A 48658-2022 karta.png", "A 48658-2022")</f>
        <v/>
      </c>
      <c r="Y5">
        <f>HYPERLINK("https://klasma.github.io/Logging_0120/kartor_geotiff/A 48658-2022 georefererad karta.tif", "A 48658-2022")</f>
        <v/>
      </c>
      <c r="AA5">
        <f>HYPERLINK("https://klasma.github.io/Logging_0120/klagomål/A 48658-2022 FSC-klagomål.docx", "A 48658-2022")</f>
        <v/>
      </c>
      <c r="AB5">
        <f>HYPERLINK("https://klasma.github.io/Logging_0120/klagomålsmail/A 48658-2022 FSC-klagomål mail.docx", "A 48658-2022")</f>
        <v/>
      </c>
      <c r="AC5">
        <f>HYPERLINK("https://klasma.github.io/Logging_0120/tillsyn/A 48658-2022 tillsynsbegäran.docx", "A 48658-2022")</f>
        <v/>
      </c>
      <c r="AD5">
        <f>HYPERLINK("https://klasma.github.io/Logging_0120/tillsynsmail/A 48658-2022 tillsynsbegäran mail.docx", "A 48658-2022")</f>
        <v/>
      </c>
    </row>
    <row r="6" ht="15" customHeight="1">
      <c r="A6" t="inlineStr">
        <is>
          <t>A 33166-2023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45126</v>
      </c>
      <c r="E6" s="1" t="n">
        <v>46321</v>
      </c>
      <c r="F6" t="inlineStr">
        <is>
          <t>STOCKHOLMS LÄN</t>
        </is>
      </c>
      <c r="G6" t="inlineStr">
        <is>
          <t>VÄRMDÖ</t>
        </is>
      </c>
      <c r="I6" t="n">
        <v>3.8</v>
      </c>
      <c r="J6" t="n">
        <v>0</v>
      </c>
      <c r="K6" t="n">
        <v>0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3</v>
      </c>
      <c r="T6" t="n">
        <v>3</v>
      </c>
      <c r="U6" t="n">
        <v>0</v>
      </c>
      <c r="V6" s="2" t="inlineStr">
        <is>
          <t>Gullklöver
Jungfrulin
Vippärt</t>
        </is>
      </c>
      <c r="W6">
        <f>HYPERLINK("https://klasma.github.io/Logging_0120/artfynd/A 33166-2023 artfynd.xlsx", "A 33166-2023")</f>
        <v/>
      </c>
      <c r="X6">
        <f>HYPERLINK("https://klasma.github.io/Logging_0120/kartor/A 33166-2023 karta.png", "A 33166-2023")</f>
        <v/>
      </c>
      <c r="Y6">
        <f>HYPERLINK("https://klasma.github.io/Logging_0120/kartor_geotiff/A 33166-2023 georefererad karta.tif", "A 33166-2023")</f>
        <v/>
      </c>
      <c r="AA6">
        <f>HYPERLINK("https://klasma.github.io/Logging_0120/klagomål/A 33166-2023 FSC-klagomål.docx", "A 33166-2023")</f>
        <v/>
      </c>
      <c r="AB6">
        <f>HYPERLINK("https://klasma.github.io/Logging_0120/klagomålsmail/A 33166-2023 FSC-klagomål mail.docx", "A 33166-2023")</f>
        <v/>
      </c>
      <c r="AC6">
        <f>HYPERLINK("https://klasma.github.io/Logging_0120/tillsyn/A 33166-2023 tillsynsbegäran.docx", "A 33166-2023")</f>
        <v/>
      </c>
      <c r="AD6">
        <f>HYPERLINK("https://klasma.github.io/Logging_0120/tillsynsmail/A 33166-2023 tillsynsbegäran mail.docx", "A 33166-2023")</f>
        <v/>
      </c>
    </row>
    <row r="7" ht="15" customHeight="1">
      <c r="A7" t="inlineStr">
        <is>
          <t>A 31577-2025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45833</v>
      </c>
      <c r="E7" s="1" t="n">
        <v>46321</v>
      </c>
      <c r="F7" t="inlineStr">
        <is>
          <t>STOCKHOLMS LÄN</t>
        </is>
      </c>
      <c r="G7" t="inlineStr">
        <is>
          <t>VÄRMDÖ</t>
        </is>
      </c>
      <c r="I7" t="n">
        <v>2.3</v>
      </c>
      <c r="J7" t="n">
        <v>1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3</v>
      </c>
      <c r="T7" t="n">
        <v>3</v>
      </c>
      <c r="U7" t="n">
        <v>0</v>
      </c>
      <c r="V7" s="2" t="inlineStr">
        <is>
          <t>Klofibbla
Sårläka
Nästrot</t>
        </is>
      </c>
      <c r="W7">
        <f>HYPERLINK("https://klasma.github.io/Logging_0120/artfynd/A 31577-2025 artfynd.xlsx", "A 31577-2025")</f>
        <v/>
      </c>
      <c r="X7">
        <f>HYPERLINK("https://klasma.github.io/Logging_0120/kartor/A 31577-2025 karta.png", "A 31577-2025")</f>
        <v/>
      </c>
      <c r="Y7">
        <f>HYPERLINK("https://klasma.github.io/Logging_0120/kartor_geotiff/A 31577-2025 georefererad karta.tif", "A 31577-2025")</f>
        <v/>
      </c>
      <c r="AA7">
        <f>HYPERLINK("https://klasma.github.io/Logging_0120/klagomål/A 31577-2025 FSC-klagomål.docx", "A 31577-2025")</f>
        <v/>
      </c>
      <c r="AB7">
        <f>HYPERLINK("https://klasma.github.io/Logging_0120/klagomålsmail/A 31577-2025 FSC-klagomål mail.docx", "A 31577-2025")</f>
        <v/>
      </c>
      <c r="AC7">
        <f>HYPERLINK("https://klasma.github.io/Logging_0120/tillsyn/A 31577-2025 tillsynsbegäran.docx", "A 31577-2025")</f>
        <v/>
      </c>
      <c r="AD7">
        <f>HYPERLINK("https://klasma.github.io/Logging_0120/tillsynsmail/A 31577-2025 tillsynsbegäran mail.docx", "A 31577-2025")</f>
        <v/>
      </c>
    </row>
    <row r="8" ht="15" customHeight="1">
      <c r="A8" t="inlineStr">
        <is>
          <t>S 403-2021</t>
        </is>
      </c>
      <c r="B8" t="inlineStr">
        <is>
          <t>samrådsanmälan</t>
        </is>
      </c>
      <c r="C8" t="inlineStr">
        <is>
          <t>Åtgärd i nyckelbiotop</t>
        </is>
      </c>
      <c r="D8" s="1" t="n">
        <v>44257</v>
      </c>
      <c r="E8" s="1" t="n">
        <v>46321</v>
      </c>
      <c r="F8" t="inlineStr">
        <is>
          <t>STOCKHOLMS LÄN</t>
        </is>
      </c>
      <c r="G8" t="inlineStr">
        <is>
          <t>VÄRMDÖ</t>
        </is>
      </c>
      <c r="I8" t="n">
        <v>8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2</v>
      </c>
      <c r="R8" t="n">
        <v>1</v>
      </c>
      <c r="S8" t="n">
        <v>2</v>
      </c>
      <c r="T8" t="n">
        <v>5</v>
      </c>
      <c r="U8" t="n">
        <v>4</v>
      </c>
      <c r="V8" s="2" t="inlineStr">
        <is>
          <t>Ask
Vippärt</t>
        </is>
      </c>
      <c r="W8">
        <f>HYPERLINK("https://klasma.github.io/Logging_0120/artfynd/S 403-2021 artfynd.xlsx", "S 403-2021")</f>
        <v/>
      </c>
      <c r="X8">
        <f>HYPERLINK("https://klasma.github.io/Logging_0120/kartor/S 403-2021 karta.png", "S 403-2021")</f>
        <v/>
      </c>
      <c r="Y8">
        <f>HYPERLINK("https://klasma.github.io/Logging_0120/kartor_geotiff/S 403-2021 georefererad karta.tif", "S 403-2021")</f>
        <v/>
      </c>
      <c r="AA8">
        <f>HYPERLINK("https://klasma.github.io/Logging_0120/klagomål/S 403-2021 FSC-klagomål.docx", "S 403-2021")</f>
        <v/>
      </c>
      <c r="AB8">
        <f>HYPERLINK("https://klasma.github.io/Logging_0120/klagomålsmail/S 403-2021 FSC-klagomål mail.docx", "S 403-2021")</f>
        <v/>
      </c>
      <c r="AC8">
        <f>HYPERLINK("https://klasma.github.io/Logging_0120/tillsyn/S 403-2021 tillsynsbegäran.docx", "S 403-2021")</f>
        <v/>
      </c>
      <c r="AD8">
        <f>HYPERLINK("https://klasma.github.io/Logging_0120/tillsynsmail/S 403-2021 tillsynsbegäran mail.docx", "S 403-2021")</f>
        <v/>
      </c>
    </row>
    <row r="9" ht="15" customHeight="1">
      <c r="A9" t="inlineStr">
        <is>
          <t>S 1959-2026</t>
        </is>
      </c>
      <c r="B9" t="inlineStr">
        <is>
          <t>samrådsanmälan</t>
        </is>
      </c>
      <c r="C9" t="inlineStr">
        <is>
          <t>Annan skogsbruksåtgärd</t>
        </is>
      </c>
      <c r="D9" s="1" t="n">
        <v>46205</v>
      </c>
      <c r="E9" s="1" t="n">
        <v>46321</v>
      </c>
      <c r="F9" t="inlineStr">
        <is>
          <t>STOCKHOLMS LÄN</t>
        </is>
      </c>
      <c r="G9" t="inlineStr">
        <is>
          <t>VÄRMDÖ</t>
        </is>
      </c>
      <c r="H9" t="inlineStr">
        <is>
          <t>Kommuner</t>
        </is>
      </c>
      <c r="I9" t="n">
        <v>2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2</v>
      </c>
      <c r="U9" t="n">
        <v>0</v>
      </c>
      <c r="V9" s="2" t="inlineStr">
        <is>
          <t>Åderskölding
Revlummer</t>
        </is>
      </c>
      <c r="W9">
        <f>HYPERLINK("https://klasma.github.io/Logging_0120/artfynd/S 1959-2026 artfynd.xlsx", "S 1959-2026")</f>
        <v/>
      </c>
      <c r="X9">
        <f>HYPERLINK("https://klasma.github.io/Logging_0120/kartor/S 1959-2026 karta.png", "S 1959-2026")</f>
        <v/>
      </c>
      <c r="Y9">
        <f>HYPERLINK("https://klasma.github.io/Logging_0120/kartor_geotiff/S 1959-2026 georefererad karta.tif", "S 1959-2026")</f>
        <v/>
      </c>
      <c r="AA9">
        <f>HYPERLINK("https://klasma.github.io/Logging_0120/klagomål/S 1959-2026 FSC-klagomål.docx", "S 1959-2026")</f>
        <v/>
      </c>
      <c r="AB9">
        <f>HYPERLINK("https://klasma.github.io/Logging_0120/klagomålsmail/S 1959-2026 FSC-klagomål mail.docx", "S 1959-2026")</f>
        <v/>
      </c>
      <c r="AC9">
        <f>HYPERLINK("https://klasma.github.io/Logging_0120/tillsyn/S 1959-2026 tillsynsbegäran.docx", "S 1959-2026")</f>
        <v/>
      </c>
      <c r="AD9">
        <f>HYPERLINK("https://klasma.github.io/Logging_0120/tillsynsmail/S 1959-2026 tillsynsbegäran mail.docx", "S 1959-2026")</f>
        <v/>
      </c>
    </row>
    <row r="10" ht="15" customHeight="1">
      <c r="A10" t="inlineStr">
        <is>
          <t>A 72108-2021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44544</v>
      </c>
      <c r="E10" s="1" t="n">
        <v>46321</v>
      </c>
      <c r="F10" t="inlineStr">
        <is>
          <t>STOCKHOLMS LÄN</t>
        </is>
      </c>
      <c r="G10" t="inlineStr">
        <is>
          <t>VÄRMDÖ</t>
        </is>
      </c>
      <c r="I10" t="n">
        <v>1.6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1</v>
      </c>
      <c r="U10" t="n">
        <v>1</v>
      </c>
      <c r="V10" s="2" t="inlineStr">
        <is>
          <t>Jungfrulin</t>
        </is>
      </c>
      <c r="W10">
        <f>HYPERLINK("https://klasma.github.io/Logging_0120/artfynd/A 72108-2021 artfynd.xlsx", "A 72108-2021")</f>
        <v/>
      </c>
      <c r="X10">
        <f>HYPERLINK("https://klasma.github.io/Logging_0120/kartor/A 72108-2021 karta.png", "A 72108-2021")</f>
        <v/>
      </c>
      <c r="Y10">
        <f>HYPERLINK("https://klasma.github.io/Logging_0120/kartor_geotiff/A 72108-2021 georefererad karta.tif", "A 72108-2021")</f>
        <v/>
      </c>
      <c r="AA10">
        <f>HYPERLINK("https://klasma.github.io/Logging_0120/klagomål/A 72108-2021 FSC-klagomål.docx", "A 72108-2021")</f>
        <v/>
      </c>
      <c r="AB10">
        <f>HYPERLINK("https://klasma.github.io/Logging_0120/klagomålsmail/A 72108-2021 FSC-klagomål mail.docx", "A 72108-2021")</f>
        <v/>
      </c>
      <c r="AC10">
        <f>HYPERLINK("https://klasma.github.io/Logging_0120/tillsyn/A 72108-2021 tillsynsbegäran.docx", "A 72108-2021")</f>
        <v/>
      </c>
      <c r="AD10">
        <f>HYPERLINK("https://klasma.github.io/Logging_0120/tillsynsmail/A 72108-2021 tillsynsbegäran mail.docx", "A 72108-2021")</f>
        <v/>
      </c>
    </row>
    <row r="11" ht="15" customHeight="1">
      <c r="A11" t="inlineStr">
        <is>
          <t>A 71315-2021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44539</v>
      </c>
      <c r="E11" s="1" t="n">
        <v>46321</v>
      </c>
      <c r="F11" t="inlineStr">
        <is>
          <t>STOCKHOLMS LÄN</t>
        </is>
      </c>
      <c r="G11" t="inlineStr">
        <is>
          <t>VÄRMDÖ</t>
        </is>
      </c>
      <c r="H11" t="inlineStr">
        <is>
          <t>Övriga Aktiebolag</t>
        </is>
      </c>
      <c r="I11" t="n">
        <v>5.3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0</v>
      </c>
      <c r="V11" s="2" t="inlineStr">
        <is>
          <t>Sårläka</t>
        </is>
      </c>
      <c r="W11">
        <f>HYPERLINK("https://klasma.github.io/Logging_0120/artfynd/A 71315-2021 artfynd.xlsx", "A 71315-2021")</f>
        <v/>
      </c>
      <c r="X11">
        <f>HYPERLINK("https://klasma.github.io/Logging_0120/kartor/A 71315-2021 karta.png", "A 71315-2021")</f>
        <v/>
      </c>
      <c r="Y11">
        <f>HYPERLINK("https://klasma.github.io/Logging_0120/kartor_geotiff/A 71315-2021 georefererad karta.tif", "A 71315-2021")</f>
        <v/>
      </c>
      <c r="AA11">
        <f>HYPERLINK("https://klasma.github.io/Logging_0120/klagomål/A 71315-2021 FSC-klagomål.docx", "A 71315-2021")</f>
        <v/>
      </c>
      <c r="AB11">
        <f>HYPERLINK("https://klasma.github.io/Logging_0120/klagomålsmail/A 71315-2021 FSC-klagomål mail.docx", "A 71315-2021")</f>
        <v/>
      </c>
      <c r="AC11">
        <f>HYPERLINK("https://klasma.github.io/Logging_0120/tillsyn/A 71315-2021 tillsynsbegäran.docx", "A 71315-2021")</f>
        <v/>
      </c>
      <c r="AD11">
        <f>HYPERLINK("https://klasma.github.io/Logging_0120/tillsynsmail/A 71315-2021 tillsynsbegäran mail.docx", "A 71315-2021")</f>
        <v/>
      </c>
    </row>
    <row r="12" ht="15" customHeight="1">
      <c r="A12" t="inlineStr">
        <is>
          <t>A 54056-2022</t>
        </is>
      </c>
      <c r="B12" t="inlineStr">
        <is>
          <t>avverkningsanmälan</t>
        </is>
      </c>
      <c r="C12" t="inlineStr">
        <is>
          <t>Avverkning för att bevara och utveckla /försöksver</t>
        </is>
      </c>
      <c r="D12" s="1" t="n">
        <v>44876</v>
      </c>
      <c r="E12" s="1" t="n">
        <v>46321</v>
      </c>
      <c r="F12" t="inlineStr">
        <is>
          <t>STOCKHOLMS LÄN</t>
        </is>
      </c>
      <c r="G12" t="inlineStr">
        <is>
          <t>VÄRMDÖ</t>
        </is>
      </c>
      <c r="H12" t="inlineStr">
        <is>
          <t>Kommuner</t>
        </is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1</v>
      </c>
      <c r="U12" t="n">
        <v>1</v>
      </c>
      <c r="V12" s="2" t="inlineStr">
        <is>
          <t>Tallticka</t>
        </is>
      </c>
      <c r="W12">
        <f>HYPERLINK("https://klasma.github.io/Logging_0120/artfynd/A 54056-2022 artfynd.xlsx", "A 54056-2022")</f>
        <v/>
      </c>
      <c r="X12">
        <f>HYPERLINK("https://klasma.github.io/Logging_0120/kartor/A 54056-2022 karta.png", "A 54056-2022")</f>
        <v/>
      </c>
      <c r="Y12">
        <f>HYPERLINK("https://klasma.github.io/Logging_0120/kartor_geotiff/A 54056-2022 georefererad karta.tif", "A 54056-2022")</f>
        <v/>
      </c>
      <c r="AA12">
        <f>HYPERLINK("https://klasma.github.io/Logging_0120/klagomål/A 54056-2022 FSC-klagomål.docx", "A 54056-2022")</f>
        <v/>
      </c>
      <c r="AB12">
        <f>HYPERLINK("https://klasma.github.io/Logging_0120/klagomålsmail/A 54056-2022 FSC-klagomål mail.docx", "A 54056-2022")</f>
        <v/>
      </c>
      <c r="AC12">
        <f>HYPERLINK("https://klasma.github.io/Logging_0120/tillsyn/A 54056-2022 tillsynsbegäran.docx", "A 54056-2022")</f>
        <v/>
      </c>
      <c r="AD12">
        <f>HYPERLINK("https://klasma.github.io/Logging_0120/tillsynsmail/A 54056-2022 tillsynsbegäran mail.docx", "A 54056-2022")</f>
        <v/>
      </c>
    </row>
    <row r="13" ht="15" customHeight="1">
      <c r="A13" t="inlineStr">
        <is>
          <t>A 33046-2022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44785</v>
      </c>
      <c r="E13" s="1" t="n">
        <v>46321</v>
      </c>
      <c r="F13" t="inlineStr">
        <is>
          <t>STOCKHOLMS LÄN</t>
        </is>
      </c>
      <c r="G13" t="inlineStr">
        <is>
          <t>VÄRMDÖ</t>
        </is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s="2" t="inlineStr">
        <is>
          <t>Spillkråka</t>
        </is>
      </c>
      <c r="W13">
        <f>HYPERLINK("https://klasma.github.io/Logging_0120/artfynd/A 33046-2022 artfynd.xlsx", "A 33046-2022")</f>
        <v/>
      </c>
      <c r="X13">
        <f>HYPERLINK("https://klasma.github.io/Logging_0120/kartor/A 33046-2022 karta.png", "A 33046-2022")</f>
        <v/>
      </c>
      <c r="Y13">
        <f>HYPERLINK("https://klasma.github.io/Logging_0120/kartor_geotiff/A 33046-2022 georefererad karta.tif", "A 33046-2022")</f>
        <v/>
      </c>
      <c r="AA13">
        <f>HYPERLINK("https://klasma.github.io/Logging_0120/klagomål/A 33046-2022 FSC-klagomål.docx", "A 33046-2022")</f>
        <v/>
      </c>
      <c r="AB13">
        <f>HYPERLINK("https://klasma.github.io/Logging_0120/klagomålsmail/A 33046-2022 FSC-klagomål mail.docx", "A 33046-2022")</f>
        <v/>
      </c>
      <c r="AC13">
        <f>HYPERLINK("https://klasma.github.io/Logging_0120/tillsyn/A 33046-2022 tillsynsbegäran.docx", "A 33046-2022")</f>
        <v/>
      </c>
      <c r="AD13">
        <f>HYPERLINK("https://klasma.github.io/Logging_0120/tillsynsmail/A 33046-2022 tillsynsbegäran mail.docx", "A 33046-2022")</f>
        <v/>
      </c>
      <c r="AE13">
        <f>HYPERLINK("https://klasma.github.io/Logging_0120/fåglar/A 33046-2022 prioriterade fågelarter.docx", "A 33046-2022")</f>
        <v/>
      </c>
    </row>
    <row r="14" ht="15" customHeight="1">
      <c r="A14" t="inlineStr">
        <is>
          <t>A 28354-2026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46195</v>
      </c>
      <c r="E14" s="1" t="n">
        <v>46321</v>
      </c>
      <c r="F14" t="inlineStr">
        <is>
          <t>STOCKHOLMS LÄN</t>
        </is>
      </c>
      <c r="G14" t="inlineStr">
        <is>
          <t>VÄRMDÖ</t>
        </is>
      </c>
      <c r="I14" t="n">
        <v>1.8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2</v>
      </c>
      <c r="U14" t="n">
        <v>0</v>
      </c>
      <c r="V14" s="2" t="inlineStr">
        <is>
          <t>Tallticka</t>
        </is>
      </c>
      <c r="W14">
        <f>HYPERLINK("https://klasma.github.io/Logging_0120/artfynd/A 28354-2026 artfynd.xlsx", "A 28354-2026")</f>
        <v/>
      </c>
      <c r="X14">
        <f>HYPERLINK("https://klasma.github.io/Logging_0120/kartor/A 28354-2026 karta.png", "A 28354-2026")</f>
        <v/>
      </c>
      <c r="Y14">
        <f>HYPERLINK("https://klasma.github.io/Logging_0120/kartor_geotiff/A 28354-2026 georefererad karta.tif", "A 28354-2026")</f>
        <v/>
      </c>
      <c r="AA14">
        <f>HYPERLINK("https://klasma.github.io/Logging_0120/klagomål/A 28354-2026 FSC-klagomål.docx", "A 28354-2026")</f>
        <v/>
      </c>
      <c r="AB14">
        <f>HYPERLINK("https://klasma.github.io/Logging_0120/klagomålsmail/A 28354-2026 FSC-klagomål mail.docx", "A 28354-2026")</f>
        <v/>
      </c>
      <c r="AC14">
        <f>HYPERLINK("https://klasma.github.io/Logging_0120/tillsyn/A 28354-2026 tillsynsbegäran.docx", "A 28354-2026")</f>
        <v/>
      </c>
      <c r="AD14">
        <f>HYPERLINK("https://klasma.github.io/Logging_0120/tillsynsmail/A 28354-2026 tillsynsbegäran mail.docx", "A 28354-2026")</f>
        <v/>
      </c>
    </row>
    <row r="15" ht="15" customHeight="1">
      <c r="A15" t="inlineStr">
        <is>
          <t>A 31593-2025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45833</v>
      </c>
      <c r="E15" s="1" t="n">
        <v>46321</v>
      </c>
      <c r="F15" t="inlineStr">
        <is>
          <t>STOCKHOLMS LÄN</t>
        </is>
      </c>
      <c r="G15" t="inlineStr">
        <is>
          <t>VÄRMDÖ</t>
        </is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Tallticka</t>
        </is>
      </c>
      <c r="W15">
        <f>HYPERLINK("https://klasma.github.io/Logging_0120/artfynd/A 31593-2025 artfynd.xlsx", "A 31593-2025")</f>
        <v/>
      </c>
      <c r="X15">
        <f>HYPERLINK("https://klasma.github.io/Logging_0120/kartor/A 31593-2025 karta.png", "A 31593-2025")</f>
        <v/>
      </c>
      <c r="Y15">
        <f>HYPERLINK("https://klasma.github.io/Logging_0120/kartor_geotiff/A 31593-2025 georefererad karta.tif", "A 31593-2025")</f>
        <v/>
      </c>
      <c r="AA15">
        <f>HYPERLINK("https://klasma.github.io/Logging_0120/klagomål/A 31593-2025 FSC-klagomål.docx", "A 31593-2025")</f>
        <v/>
      </c>
      <c r="AB15">
        <f>HYPERLINK("https://klasma.github.io/Logging_0120/klagomålsmail/A 31593-2025 FSC-klagomål mail.docx", "A 31593-2025")</f>
        <v/>
      </c>
      <c r="AC15">
        <f>HYPERLINK("https://klasma.github.io/Logging_0120/tillsyn/A 31593-2025 tillsynsbegäran.docx", "A 31593-2025")</f>
        <v/>
      </c>
      <c r="AD15">
        <f>HYPERLINK("https://klasma.github.io/Logging_0120/tillsynsmail/A 31593-2025 tillsynsbegäran mail.docx", "A 31593-2025")</f>
        <v/>
      </c>
    </row>
    <row r="16" ht="15" customHeight="1">
      <c r="A16" t="inlineStr">
        <is>
          <t>A 30154-2022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44757</v>
      </c>
      <c r="E16" s="1" t="n">
        <v>46321</v>
      </c>
      <c r="F16" t="inlineStr">
        <is>
          <t>STOCKHOLMS LÄN</t>
        </is>
      </c>
      <c r="G16" t="inlineStr">
        <is>
          <t>VÄRMDÖ</t>
        </is>
      </c>
      <c r="I16" t="n">
        <v>3.1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s="2" t="inlineStr">
        <is>
          <t>Lunglav</t>
        </is>
      </c>
      <c r="W16">
        <f>HYPERLINK("https://klasma.github.io/Logging_0120/artfynd/A 30154-2022 artfynd.xlsx", "A 30154-2022")</f>
        <v/>
      </c>
      <c r="X16">
        <f>HYPERLINK("https://klasma.github.io/Logging_0120/kartor/A 30154-2022 karta.png", "A 30154-2022")</f>
        <v/>
      </c>
      <c r="Y16">
        <f>HYPERLINK("https://klasma.github.io/Logging_0120/kartor_geotiff/A 30154-2022 georefererad karta.tif", "A 30154-2022")</f>
        <v/>
      </c>
      <c r="AA16">
        <f>HYPERLINK("https://klasma.github.io/Logging_0120/klagomål/A 30154-2022 FSC-klagomål.docx", "A 30154-2022")</f>
        <v/>
      </c>
      <c r="AB16">
        <f>HYPERLINK("https://klasma.github.io/Logging_0120/klagomålsmail/A 30154-2022 FSC-klagomål mail.docx", "A 30154-2022")</f>
        <v/>
      </c>
      <c r="AC16">
        <f>HYPERLINK("https://klasma.github.io/Logging_0120/tillsyn/A 30154-2022 tillsynsbegäran.docx", "A 30154-2022")</f>
        <v/>
      </c>
      <c r="AD16">
        <f>HYPERLINK("https://klasma.github.io/Logging_0120/tillsynsmail/A 30154-2022 tillsynsbegäran mail.docx", "A 30154-2022")</f>
        <v/>
      </c>
    </row>
    <row r="17" ht="15" customHeight="1">
      <c r="A17" t="inlineStr">
        <is>
          <t>A 20373-2025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45775</v>
      </c>
      <c r="E17" s="1" t="n">
        <v>46321</v>
      </c>
      <c r="F17" t="inlineStr">
        <is>
          <t>STOCKHOLMS LÄN</t>
        </is>
      </c>
      <c r="G17" t="inlineStr">
        <is>
          <t>VÄRMDÖ</t>
        </is>
      </c>
      <c r="I17" t="n">
        <v>0.5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s="2" t="inlineStr">
        <is>
          <t>Igelkott</t>
        </is>
      </c>
      <c r="W17">
        <f>HYPERLINK("https://klasma.github.io/Logging_0120/artfynd/A 20373-2025 artfynd.xlsx", "A 20373-2025")</f>
        <v/>
      </c>
      <c r="X17">
        <f>HYPERLINK("https://klasma.github.io/Logging_0120/kartor/A 20373-2025 karta.png", "A 20373-2025")</f>
        <v/>
      </c>
      <c r="Y17">
        <f>HYPERLINK("https://klasma.github.io/Logging_0120/kartor_geotiff/A 20373-2025 georefererad karta.tif", "A 20373-2025")</f>
        <v/>
      </c>
      <c r="AA17">
        <f>HYPERLINK("https://klasma.github.io/Logging_0120/klagomål/A 20373-2025 FSC-klagomål.docx", "A 20373-2025")</f>
        <v/>
      </c>
      <c r="AB17">
        <f>HYPERLINK("https://klasma.github.io/Logging_0120/klagomålsmail/A 20373-2025 FSC-klagomål mail.docx", "A 20373-2025")</f>
        <v/>
      </c>
      <c r="AC17">
        <f>HYPERLINK("https://klasma.github.io/Logging_0120/tillsyn/A 20373-2025 tillsynsbegäran.docx", "A 20373-2025")</f>
        <v/>
      </c>
      <c r="AD17">
        <f>HYPERLINK("https://klasma.github.io/Logging_0120/tillsynsmail/A 20373-2025 tillsynsbegäran mail.docx", "A 20373-2025")</f>
        <v/>
      </c>
    </row>
    <row r="18" ht="15" customHeight="1">
      <c r="A18" t="inlineStr">
        <is>
          <t>S 2554-2025</t>
        </is>
      </c>
      <c r="B18" t="inlineStr">
        <is>
          <t>samrådsanmälan</t>
        </is>
      </c>
      <c r="C18" t="inlineStr">
        <is>
          <t>Annan skogsbruksåtgärd</t>
        </is>
      </c>
      <c r="D18" s="1" t="n">
        <v>45911</v>
      </c>
      <c r="E18" s="1" t="n">
        <v>46321</v>
      </c>
      <c r="F18" t="inlineStr">
        <is>
          <t>STOCKHOLMS LÄN</t>
        </is>
      </c>
      <c r="G18" t="inlineStr">
        <is>
          <t>VÄRMDÖ</t>
        </is>
      </c>
      <c r="I18" t="n">
        <v>12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Älg</t>
        </is>
      </c>
      <c r="W18">
        <f>HYPERLINK("https://klasma.github.io/Logging_0120/artfynd/S 2554-2025 artfynd.xlsx", "S 2554-2025")</f>
        <v/>
      </c>
      <c r="X18">
        <f>HYPERLINK("https://klasma.github.io/Logging_0120/kartor/S 2554-2025 karta.png", "S 2554-2025")</f>
        <v/>
      </c>
      <c r="Y18">
        <f>HYPERLINK("https://klasma.github.io/Logging_0120/kartor_geotiff/S 2554-2025 georefererad karta.tif", "S 2554-2025")</f>
        <v/>
      </c>
      <c r="AA18">
        <f>HYPERLINK("https://klasma.github.io/Logging_0120/klagomål/S 2554-2025 FSC-klagomål.docx", "S 2554-2025")</f>
        <v/>
      </c>
      <c r="AB18">
        <f>HYPERLINK("https://klasma.github.io/Logging_0120/klagomålsmail/S 2554-2025 FSC-klagomål mail.docx", "S 2554-2025")</f>
        <v/>
      </c>
      <c r="AC18">
        <f>HYPERLINK("https://klasma.github.io/Logging_0120/tillsyn/S 2554-2025 tillsynsbegäran.docx", "S 2554-2025")</f>
        <v/>
      </c>
      <c r="AD18">
        <f>HYPERLINK("https://klasma.github.io/Logging_0120/tillsynsmail/S 2554-2025 tillsynsbegäran mail.docx", "S 2554-2025")</f>
        <v/>
      </c>
    </row>
    <row r="19" ht="15" customHeight="1">
      <c r="A19" t="inlineStr">
        <is>
          <t>A 71317-2021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44539</v>
      </c>
      <c r="E19" s="1" t="n">
        <v>46321</v>
      </c>
      <c r="F19" t="inlineStr">
        <is>
          <t>STOCKHOLMS LÄN</t>
        </is>
      </c>
      <c r="G19" t="inlineStr">
        <is>
          <t>VÄRMDÖ</t>
        </is>
      </c>
      <c r="H19" t="inlineStr">
        <is>
          <t>Övriga Aktiebolag</t>
        </is>
      </c>
      <c r="I19" t="n">
        <v>2.7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s="2" t="inlineStr"/>
    </row>
    <row r="20" ht="15" customHeight="1">
      <c r="A20" t="inlineStr">
        <is>
          <t>A 71318-2021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44539</v>
      </c>
      <c r="E20" s="1" t="n">
        <v>46321</v>
      </c>
      <c r="F20" t="inlineStr">
        <is>
          <t>STOCKHOLMS LÄN</t>
        </is>
      </c>
      <c r="G20" t="inlineStr">
        <is>
          <t>VÄRMDÖ</t>
        </is>
      </c>
      <c r="H20" t="inlineStr">
        <is>
          <t>Övriga Aktiebolag</t>
        </is>
      </c>
      <c r="I20" t="n">
        <v>9.1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s="2" t="inlineStr"/>
    </row>
    <row r="21" ht="15" customHeight="1">
      <c r="A21" t="inlineStr">
        <is>
          <t>A 20641-2022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44700</v>
      </c>
      <c r="E21" s="1" t="n">
        <v>46321</v>
      </c>
      <c r="F21" t="inlineStr">
        <is>
          <t>STOCKHOLMS LÄN</t>
        </is>
      </c>
      <c r="G21" t="inlineStr">
        <is>
          <t>VÄRMDÖ</t>
        </is>
      </c>
      <c r="I21" t="n">
        <v>1.3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s="2" t="inlineStr"/>
    </row>
    <row r="22" ht="15" customHeight="1">
      <c r="A22" t="inlineStr">
        <is>
          <t>A 72097-2021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44544</v>
      </c>
      <c r="E22" s="1" t="n">
        <v>46321</v>
      </c>
      <c r="F22" t="inlineStr">
        <is>
          <t>STOCKHOLMS LÄN</t>
        </is>
      </c>
      <c r="G22" t="inlineStr">
        <is>
          <t>VÄRMDÖ</t>
        </is>
      </c>
      <c r="I22" t="n">
        <v>4.1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s="2" t="inlineStr"/>
    </row>
    <row r="23" ht="15" customHeight="1">
      <c r="A23" t="inlineStr">
        <is>
          <t>A 3057-2022</t>
        </is>
      </c>
      <c r="B23" t="inlineStr">
        <is>
          <t>avverkningsanmälan</t>
        </is>
      </c>
      <c r="C23" t="inlineStr">
        <is>
          <t>Avverkning för annat ändamål</t>
        </is>
      </c>
      <c r="D23" s="1" t="n">
        <v>44582</v>
      </c>
      <c r="E23" s="1" t="n">
        <v>46321</v>
      </c>
      <c r="F23" t="inlineStr">
        <is>
          <t>STOCKHOLMS LÄN</t>
        </is>
      </c>
      <c r="G23" t="inlineStr">
        <is>
          <t>VÄRMDÖ</t>
        </is>
      </c>
      <c r="I23" t="n">
        <v>7.4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s="2" t="inlineStr"/>
    </row>
    <row r="24" ht="15" customHeight="1">
      <c r="A24" t="inlineStr">
        <is>
          <t>A 8756-2023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44972</v>
      </c>
      <c r="E24" s="1" t="n">
        <v>46321</v>
      </c>
      <c r="F24" t="inlineStr">
        <is>
          <t>STOCKHOLMS LÄN</t>
        </is>
      </c>
      <c r="G24" t="inlineStr">
        <is>
          <t>VÄRMDÖ</t>
        </is>
      </c>
      <c r="I24" t="n">
        <v>1.5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s="2" t="inlineStr"/>
    </row>
    <row r="25" ht="15" customHeight="1">
      <c r="A25" t="inlineStr">
        <is>
          <t>A 28590-2024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45478</v>
      </c>
      <c r="E25" s="1" t="n">
        <v>46321</v>
      </c>
      <c r="F25" t="inlineStr">
        <is>
          <t>STOCKHOLMS LÄN</t>
        </is>
      </c>
      <c r="G25" t="inlineStr">
        <is>
          <t>VÄRMDÖ</t>
        </is>
      </c>
      <c r="I25" t="n">
        <v>1.5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24798-2026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46171</v>
      </c>
      <c r="E26" s="1" t="n">
        <v>46321</v>
      </c>
      <c r="F26" t="inlineStr">
        <is>
          <t>STOCKHOLMS LÄN</t>
        </is>
      </c>
      <c r="G26" t="inlineStr">
        <is>
          <t>VÄRMDÖ</t>
        </is>
      </c>
      <c r="I26" t="n">
        <v>8.1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33958-2023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45124</v>
      </c>
      <c r="E27" s="1" t="n">
        <v>46321</v>
      </c>
      <c r="F27" t="inlineStr">
        <is>
          <t>STOCKHOLMS LÄN</t>
        </is>
      </c>
      <c r="G27" t="inlineStr">
        <is>
          <t>VÄRMDÖ</t>
        </is>
      </c>
      <c r="I27" t="n">
        <v>0.6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2240-2023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44938</v>
      </c>
      <c r="E28" s="1" t="n">
        <v>46321</v>
      </c>
      <c r="F28" t="inlineStr">
        <is>
          <t>STOCKHOLMS LÄN</t>
        </is>
      </c>
      <c r="G28" t="inlineStr">
        <is>
          <t>VÄRMDÖ</t>
        </is>
      </c>
      <c r="I28" t="n">
        <v>3.9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114-2023</t>
        </is>
      </c>
      <c r="B29" t="inlineStr">
        <is>
          <t>avverkningsanmälan</t>
        </is>
      </c>
      <c r="C29" t="inlineStr">
        <is>
          <t>Avverkning för annat ändamål</t>
        </is>
      </c>
      <c r="D29" s="1" t="n">
        <v>44918</v>
      </c>
      <c r="E29" s="1" t="n">
        <v>46321</v>
      </c>
      <c r="F29" t="inlineStr">
        <is>
          <t>STOCKHOLMS LÄN</t>
        </is>
      </c>
      <c r="G29" t="inlineStr">
        <is>
          <t>VÄRMDÖ</t>
        </is>
      </c>
      <c r="I29" t="n">
        <v>0.6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32230-2025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45835</v>
      </c>
      <c r="E30" s="1" t="n">
        <v>46321</v>
      </c>
      <c r="F30" t="inlineStr">
        <is>
          <t>STOCKHOLMS LÄN</t>
        </is>
      </c>
      <c r="G30" t="inlineStr">
        <is>
          <t>VÄRMDÖ</t>
        </is>
      </c>
      <c r="I30" t="n">
        <v>7.9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17623-2024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45417</v>
      </c>
      <c r="E31" s="1" t="n">
        <v>46321</v>
      </c>
      <c r="F31" t="inlineStr">
        <is>
          <t>STOCKHOLMS LÄN</t>
        </is>
      </c>
      <c r="G31" t="inlineStr">
        <is>
          <t>VÄRMDÖ</t>
        </is>
      </c>
      <c r="I31" t="n">
        <v>0.8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17624-2024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45417</v>
      </c>
      <c r="E32" s="1" t="n">
        <v>46321</v>
      </c>
      <c r="F32" t="inlineStr">
        <is>
          <t>STOCKHOLMS LÄN</t>
        </is>
      </c>
      <c r="G32" t="inlineStr">
        <is>
          <t>VÄRMDÖ</t>
        </is>
      </c>
      <c r="I32" t="n">
        <v>1.2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33061-2024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45517</v>
      </c>
      <c r="E33" s="1" t="n">
        <v>46321</v>
      </c>
      <c r="F33" t="inlineStr">
        <is>
          <t>STOCKHOLMS LÄN</t>
        </is>
      </c>
      <c r="G33" t="inlineStr">
        <is>
          <t>VÄRMDÖ</t>
        </is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43308-2026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46314</v>
      </c>
      <c r="E34" s="1" t="n">
        <v>46321</v>
      </c>
      <c r="F34" t="inlineStr">
        <is>
          <t>STOCKHOLMS LÄN</t>
        </is>
      </c>
      <c r="G34" t="inlineStr">
        <is>
          <t>VÄRMDÖ</t>
        </is>
      </c>
      <c r="I34" t="n">
        <v>0.4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43287-2026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46314</v>
      </c>
      <c r="E35" s="1" t="n">
        <v>46321</v>
      </c>
      <c r="F35" t="inlineStr">
        <is>
          <t>STOCKHOLMS LÄN</t>
        </is>
      </c>
      <c r="G35" t="inlineStr">
        <is>
          <t>VÄRMDÖ</t>
        </is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43301-2026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46314</v>
      </c>
      <c r="E36" s="1" t="n">
        <v>46321</v>
      </c>
      <c r="F36" t="inlineStr">
        <is>
          <t>STOCKHOLMS LÄN</t>
        </is>
      </c>
      <c r="G36" t="inlineStr">
        <is>
          <t>VÄRMDÖ</t>
        </is>
      </c>
      <c r="I36" t="n">
        <v>2.9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43314-2026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46314</v>
      </c>
      <c r="E37" s="1" t="n">
        <v>46321</v>
      </c>
      <c r="F37" t="inlineStr">
        <is>
          <t>STOCKHOLMS LÄN</t>
        </is>
      </c>
      <c r="G37" t="inlineStr">
        <is>
          <t>VÄRMDÖ</t>
        </is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49568-2024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45596</v>
      </c>
      <c r="E38" s="1" t="n">
        <v>46321</v>
      </c>
      <c r="F38" t="inlineStr">
        <is>
          <t>STOCKHOLMS LÄN</t>
        </is>
      </c>
      <c r="G38" t="inlineStr">
        <is>
          <t>VÄRMDÖ</t>
        </is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17086-2025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45754</v>
      </c>
      <c r="E39" s="1" t="n">
        <v>46321</v>
      </c>
      <c r="F39" t="inlineStr">
        <is>
          <t>STOCKHOLMS LÄN</t>
        </is>
      </c>
      <c r="G39" t="inlineStr">
        <is>
          <t>VÄRMDÖ</t>
        </is>
      </c>
      <c r="H39" t="inlineStr">
        <is>
          <t>Övriga statliga verk och myndigheter</t>
        </is>
      </c>
      <c r="I39" t="n">
        <v>4.3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20053-2023</t>
        </is>
      </c>
      <c r="B40" t="inlineStr">
        <is>
          <t>avverkningsanmälan</t>
        </is>
      </c>
      <c r="C40" t="inlineStr">
        <is>
          <t>Avverkning för annat ändamål</t>
        </is>
      </c>
      <c r="D40" s="1" t="n">
        <v>45054</v>
      </c>
      <c r="E40" s="1" t="n">
        <v>46321</v>
      </c>
      <c r="F40" t="inlineStr">
        <is>
          <t>STOCKHOLMS LÄN</t>
        </is>
      </c>
      <c r="G40" t="inlineStr">
        <is>
          <t>VÄRMDÖ</t>
        </is>
      </c>
      <c r="H40" t="inlineStr">
        <is>
          <t>Övriga Aktiebolag</t>
        </is>
      </c>
      <c r="I40" t="n">
        <v>4.1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32458-2023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45120</v>
      </c>
      <c r="E41" s="1" t="n">
        <v>46321</v>
      </c>
      <c r="F41" t="inlineStr">
        <is>
          <t>STOCKHOLMS LÄN</t>
        </is>
      </c>
      <c r="G41" t="inlineStr">
        <is>
          <t>VÄRMDÖ</t>
        </is>
      </c>
      <c r="I41" t="n">
        <v>12.5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9966-2024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45363</v>
      </c>
      <c r="E42" s="1" t="n">
        <v>46321</v>
      </c>
      <c r="F42" t="inlineStr">
        <is>
          <t>STOCKHOLMS LÄN</t>
        </is>
      </c>
      <c r="G42" t="inlineStr">
        <is>
          <t>VÄRMDÖ</t>
        </is>
      </c>
      <c r="I42" t="n">
        <v>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36148-2023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45149</v>
      </c>
      <c r="E43" s="1" t="n">
        <v>46321</v>
      </c>
      <c r="F43" t="inlineStr">
        <is>
          <t>STOCKHOLMS LÄN</t>
        </is>
      </c>
      <c r="G43" t="inlineStr">
        <is>
          <t>VÄRMDÖ</t>
        </is>
      </c>
      <c r="H43" t="inlineStr">
        <is>
          <t>Övriga statliga verk och myndigheter</t>
        </is>
      </c>
      <c r="I43" t="n">
        <v>2.7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32286-2023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45120</v>
      </c>
      <c r="E44" s="1" t="n">
        <v>46321</v>
      </c>
      <c r="F44" t="inlineStr">
        <is>
          <t>STOCKHOLMS LÄN</t>
        </is>
      </c>
      <c r="G44" t="inlineStr">
        <is>
          <t>VÄRMDÖ</t>
        </is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3827-2022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44587</v>
      </c>
      <c r="E45" s="1" t="n">
        <v>46321</v>
      </c>
      <c r="F45" t="inlineStr">
        <is>
          <t>STOCKHOLMS LÄN</t>
        </is>
      </c>
      <c r="G45" t="inlineStr">
        <is>
          <t>VÄRMDÖ</t>
        </is>
      </c>
      <c r="I45" t="n">
        <v>4.1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30002-2023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45109</v>
      </c>
      <c r="E46" s="1" t="n">
        <v>46321</v>
      </c>
      <c r="F46" t="inlineStr">
        <is>
          <t>STOCKHOLMS LÄN</t>
        </is>
      </c>
      <c r="G46" t="inlineStr">
        <is>
          <t>VÄRMDÖ</t>
        </is>
      </c>
      <c r="I46" t="n">
        <v>4.2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S 2392-2024</t>
        </is>
      </c>
      <c r="B47" t="inlineStr">
        <is>
          <t>samrådsanmälan</t>
        </is>
      </c>
      <c r="C47" t="inlineStr">
        <is>
          <t>Annan skogsbruksåtgärd</t>
        </is>
      </c>
      <c r="D47" s="1" t="n">
        <v>45468</v>
      </c>
      <c r="E47" s="1" t="n">
        <v>46321</v>
      </c>
      <c r="F47" t="inlineStr">
        <is>
          <t>STOCKHOLMS LÄN</t>
        </is>
      </c>
      <c r="G47" t="inlineStr">
        <is>
          <t>VÄRMDÖ</t>
        </is>
      </c>
      <c r="I47" t="n">
        <v>0.6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S 378-2025</t>
        </is>
      </c>
      <c r="B48" t="inlineStr">
        <is>
          <t>samrådsanmälan</t>
        </is>
      </c>
      <c r="C48" t="inlineStr">
        <is>
          <t>Annan skogsbruksåtgärd</t>
        </is>
      </c>
      <c r="D48" s="1" t="n">
        <v>45695</v>
      </c>
      <c r="E48" s="1" t="n">
        <v>46321</v>
      </c>
      <c r="F48" t="inlineStr">
        <is>
          <t>STOCKHOLMS LÄN</t>
        </is>
      </c>
      <c r="G48" t="inlineStr">
        <is>
          <t>VÄRMDÖ</t>
        </is>
      </c>
      <c r="I48" t="n">
        <v>1.5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S 2391-2024</t>
        </is>
      </c>
      <c r="B49" t="inlineStr">
        <is>
          <t>samrådsanmälan</t>
        </is>
      </c>
      <c r="C49" t="inlineStr">
        <is>
          <t>Annan skogsbruksåtgärd</t>
        </is>
      </c>
      <c r="D49" s="1" t="n">
        <v>45468</v>
      </c>
      <c r="E49" s="1" t="n">
        <v>46321</v>
      </c>
      <c r="F49" t="inlineStr">
        <is>
          <t>STOCKHOLMS LÄN</t>
        </is>
      </c>
      <c r="G49" t="inlineStr">
        <is>
          <t>VÄRMDÖ</t>
        </is>
      </c>
      <c r="I49" t="n">
        <v>3.8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S 2699-2024</t>
        </is>
      </c>
      <c r="B50" t="inlineStr">
        <is>
          <t>samrådsanmälan</t>
        </is>
      </c>
      <c r="C50" t="inlineStr">
        <is>
          <t>Annan skogsbruksåtgärd</t>
        </is>
      </c>
      <c r="D50" s="1" t="n">
        <v>45482</v>
      </c>
      <c r="E50" s="1" t="n">
        <v>46321</v>
      </c>
      <c r="F50" t="inlineStr">
        <is>
          <t>STOCKHOLMS LÄN</t>
        </is>
      </c>
      <c r="G50" t="inlineStr">
        <is>
          <t>VÄRMDÖ</t>
        </is>
      </c>
      <c r="I50" t="n">
        <v>3.2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S 377-2025</t>
        </is>
      </c>
      <c r="B51" t="inlineStr">
        <is>
          <t>samrådsanmälan</t>
        </is>
      </c>
      <c r="C51" t="inlineStr">
        <is>
          <t>Annan skogsbruksåtgärd</t>
        </is>
      </c>
      <c r="D51" s="1" t="n">
        <v>45695</v>
      </c>
      <c r="E51" s="1" t="n">
        <v>46321</v>
      </c>
      <c r="F51" t="inlineStr">
        <is>
          <t>STOCKHOLMS LÄN</t>
        </is>
      </c>
      <c r="G51" t="inlineStr">
        <is>
          <t>VÄRMDÖ</t>
        </is>
      </c>
      <c r="I51" t="n">
        <v>1.6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S 373-2025</t>
        </is>
      </c>
      <c r="B52" t="inlineStr">
        <is>
          <t>samrådsanmälan</t>
        </is>
      </c>
      <c r="C52" t="inlineStr">
        <is>
          <t>Annan skogsbruksåtgärd</t>
        </is>
      </c>
      <c r="D52" s="1" t="n">
        <v>45695</v>
      </c>
      <c r="E52" s="1" t="n">
        <v>46321</v>
      </c>
      <c r="F52" t="inlineStr">
        <is>
          <t>STOCKHOLMS LÄN</t>
        </is>
      </c>
      <c r="G52" t="inlineStr">
        <is>
          <t>VÄRMDÖ</t>
        </is>
      </c>
      <c r="I52" t="n">
        <v>1.3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S 370-2025</t>
        </is>
      </c>
      <c r="B53" t="inlineStr">
        <is>
          <t>samrådsanmälan</t>
        </is>
      </c>
      <c r="C53" t="inlineStr">
        <is>
          <t>Annan skogsbruksåtgärd</t>
        </is>
      </c>
      <c r="D53" s="1" t="n">
        <v>45695</v>
      </c>
      <c r="E53" s="1" t="n">
        <v>46321</v>
      </c>
      <c r="F53" t="inlineStr">
        <is>
          <t>STOCKHOLMS LÄN</t>
        </is>
      </c>
      <c r="G53" t="inlineStr">
        <is>
          <t>VÄRMDÖ</t>
        </is>
      </c>
      <c r="I53" t="n">
        <v>2.6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S 2698-2024</t>
        </is>
      </c>
      <c r="B54" t="inlineStr">
        <is>
          <t>samrådsanmälan</t>
        </is>
      </c>
      <c r="C54" t="inlineStr">
        <is>
          <t>Annan skogsbruksåtgärd</t>
        </is>
      </c>
      <c r="D54" s="1" t="n">
        <v>45482</v>
      </c>
      <c r="E54" s="1" t="n">
        <v>46321</v>
      </c>
      <c r="F54" t="inlineStr">
        <is>
          <t>STOCKHOLMS LÄN</t>
        </is>
      </c>
      <c r="G54" t="inlineStr">
        <is>
          <t>VÄRMDÖ</t>
        </is>
      </c>
      <c r="I54" t="n">
        <v>6.5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S 374-2025</t>
        </is>
      </c>
      <c r="B55" t="inlineStr">
        <is>
          <t>samrådsanmälan</t>
        </is>
      </c>
      <c r="C55" t="inlineStr">
        <is>
          <t>Annan skogsbruksåtgärd</t>
        </is>
      </c>
      <c r="D55" s="1" t="n">
        <v>45695</v>
      </c>
      <c r="E55" s="1" t="n">
        <v>46321</v>
      </c>
      <c r="F55" t="inlineStr">
        <is>
          <t>STOCKHOLMS LÄN</t>
        </is>
      </c>
      <c r="G55" t="inlineStr">
        <is>
          <t>VÄRMDÖ</t>
        </is>
      </c>
      <c r="I55" t="n">
        <v>3.1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>
      <c r="A56" t="inlineStr">
        <is>
          <t>S 2043-2026</t>
        </is>
      </c>
      <c r="B56" t="inlineStr">
        <is>
          <t>samrådsanmälan</t>
        </is>
      </c>
      <c r="C56" t="inlineStr">
        <is>
          <t>Annan skogsbruksåtgärd</t>
        </is>
      </c>
      <c r="D56" s="1" t="n">
        <v>46219</v>
      </c>
      <c r="E56" s="1" t="n">
        <v>46321</v>
      </c>
      <c r="F56" t="inlineStr">
        <is>
          <t>STOCKHOLMS LÄN</t>
        </is>
      </c>
      <c r="G56" t="inlineStr">
        <is>
          <t>VÄRMDÖ</t>
        </is>
      </c>
      <c r="I56" t="n">
        <v>0.5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2026-10-26T03:08:09Z</dcterms:created>
  <dcterms:modified xmlns:dcterms="http://purl.org/dc/terms/" xmlns:xsi="http://www.w3.org/2001/XMLSchema-instance" xsi:type="dcterms:W3CDTF">2026-10-26T03:08:09Z</dcterms:modified>
</cp:coreProperties>
</file>