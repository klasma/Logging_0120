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45688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45688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45688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45688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45688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45688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45688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37730-2019</t>
        </is>
      </c>
      <c r="B9" s="1" t="n">
        <v>43682</v>
      </c>
      <c r="C9" s="1" t="n">
        <v>45688</v>
      </c>
      <c r="D9" t="inlineStr">
        <is>
          <t>STOCKHOLMS LÄN</t>
        </is>
      </c>
      <c r="E9" t="inlineStr">
        <is>
          <t>VÄRMDÖ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Kornknutmossa
Stubbspretmossa</t>
        </is>
      </c>
      <c r="S9">
        <f>HYPERLINK("https://klasma.github.io/Logging_0120/artfynd/A 37730-2019 artfynd.xlsx", "A 37730-2019")</f>
        <v/>
      </c>
      <c r="T9">
        <f>HYPERLINK("https://klasma.github.io/Logging_0120/kartor/A 37730-2019 karta.png", "A 37730-2019")</f>
        <v/>
      </c>
      <c r="V9">
        <f>HYPERLINK("https://klasma.github.io/Logging_0120/klagomål/A 37730-2019 FSC-klagomål.docx", "A 37730-2019")</f>
        <v/>
      </c>
      <c r="W9">
        <f>HYPERLINK("https://klasma.github.io/Logging_0120/klagomålsmail/A 37730-2019 FSC-klagomål mail.docx", "A 37730-2019")</f>
        <v/>
      </c>
      <c r="X9">
        <f>HYPERLINK("https://klasma.github.io/Logging_0120/tillsyn/A 37730-2019 tillsynsbegäran.docx", "A 37730-2019")</f>
        <v/>
      </c>
      <c r="Y9">
        <f>HYPERLINK("https://klasma.github.io/Logging_0120/tillsynsmail/A 37730-2019 tillsynsbegäran mail.docx", "A 37730-2019")</f>
        <v/>
      </c>
    </row>
    <row r="10" ht="15" customHeight="1">
      <c r="A10" t="inlineStr">
        <is>
          <t>A 16084-2021</t>
        </is>
      </c>
      <c r="B10" s="1" t="n">
        <v>44288</v>
      </c>
      <c r="C10" s="1" t="n">
        <v>45688</v>
      </c>
      <c r="D10" t="inlineStr">
        <is>
          <t>STOCKHOLMS LÄN</t>
        </is>
      </c>
      <c r="E10" t="inlineStr">
        <is>
          <t>VÄRMDÖ</t>
        </is>
      </c>
      <c r="G10" t="n">
        <v>1.2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Reliktbock
Grovticka</t>
        </is>
      </c>
      <c r="S10">
        <f>HYPERLINK("https://klasma.github.io/Logging_0120/artfynd/A 16084-2021 artfynd.xlsx", "A 16084-2021")</f>
        <v/>
      </c>
      <c r="T10">
        <f>HYPERLINK("https://klasma.github.io/Logging_0120/kartor/A 16084-2021 karta.png", "A 16084-2021")</f>
        <v/>
      </c>
      <c r="V10">
        <f>HYPERLINK("https://klasma.github.io/Logging_0120/klagomål/A 16084-2021 FSC-klagomål.docx", "A 16084-2021")</f>
        <v/>
      </c>
      <c r="W10">
        <f>HYPERLINK("https://klasma.github.io/Logging_0120/klagomålsmail/A 16084-2021 FSC-klagomål mail.docx", "A 16084-2021")</f>
        <v/>
      </c>
      <c r="X10">
        <f>HYPERLINK("https://klasma.github.io/Logging_0120/tillsyn/A 16084-2021 tillsynsbegäran.docx", "A 16084-2021")</f>
        <v/>
      </c>
      <c r="Y10">
        <f>HYPERLINK("https://klasma.github.io/Logging_0120/tillsynsmail/A 16084-2021 tillsynsbegäran mail.docx", "A 16084-2021")</f>
        <v/>
      </c>
    </row>
    <row r="11" ht="15" customHeight="1">
      <c r="A11" t="inlineStr">
        <is>
          <t>A 32317-2023</t>
        </is>
      </c>
      <c r="B11" s="1" t="n">
        <v>45120</v>
      </c>
      <c r="C11" s="1" t="n">
        <v>45688</v>
      </c>
      <c r="D11" t="inlineStr">
        <is>
          <t>STOCKHOLMS LÄN</t>
        </is>
      </c>
      <c r="E11" t="inlineStr">
        <is>
          <t>VÄRMDÖ</t>
        </is>
      </c>
      <c r="G11" t="n">
        <v>21.2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Adam och eva
Gullviva</t>
        </is>
      </c>
      <c r="S11">
        <f>HYPERLINK("https://klasma.github.io/Logging_0120/artfynd/A 32317-2023 artfynd.xlsx", "A 32317-2023")</f>
        <v/>
      </c>
      <c r="T11">
        <f>HYPERLINK("https://klasma.github.io/Logging_0120/kartor/A 32317-2023 karta.png", "A 32317-2023")</f>
        <v/>
      </c>
      <c r="V11">
        <f>HYPERLINK("https://klasma.github.io/Logging_0120/klagomål/A 32317-2023 FSC-klagomål.docx", "A 32317-2023")</f>
        <v/>
      </c>
      <c r="W11">
        <f>HYPERLINK("https://klasma.github.io/Logging_0120/klagomålsmail/A 32317-2023 FSC-klagomål mail.docx", "A 32317-2023")</f>
        <v/>
      </c>
      <c r="X11">
        <f>HYPERLINK("https://klasma.github.io/Logging_0120/tillsyn/A 32317-2023 tillsynsbegäran.docx", "A 32317-2023")</f>
        <v/>
      </c>
      <c r="Y11">
        <f>HYPERLINK("https://klasma.github.io/Logging_0120/tillsynsmail/A 32317-2023 tillsynsbegäran mail.docx", "A 32317-2023")</f>
        <v/>
      </c>
    </row>
    <row r="12" ht="15" customHeight="1">
      <c r="A12" t="inlineStr">
        <is>
          <t>A 33165-2023</t>
        </is>
      </c>
      <c r="B12" s="1" t="n">
        <v>45126</v>
      </c>
      <c r="C12" s="1" t="n">
        <v>45688</v>
      </c>
      <c r="D12" t="inlineStr">
        <is>
          <t>STOCKHOLMS LÄN</t>
        </is>
      </c>
      <c r="E12" t="inlineStr">
        <is>
          <t>VÄRMDÖ</t>
        </is>
      </c>
      <c r="G12" t="n">
        <v>9.1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Mörk kraterlav</t>
        </is>
      </c>
      <c r="S12">
        <f>HYPERLINK("https://klasma.github.io/Logging_0120/artfynd/A 33165-2023 artfynd.xlsx", "A 33165-2023")</f>
        <v/>
      </c>
      <c r="T12">
        <f>HYPERLINK("https://klasma.github.io/Logging_0120/kartor/A 33165-2023 karta.png", "A 33165-2023")</f>
        <v/>
      </c>
      <c r="V12">
        <f>HYPERLINK("https://klasma.github.io/Logging_0120/klagomål/A 33165-2023 FSC-klagomål.docx", "A 33165-2023")</f>
        <v/>
      </c>
      <c r="W12">
        <f>HYPERLINK("https://klasma.github.io/Logging_0120/klagomålsmail/A 33165-2023 FSC-klagomål mail.docx", "A 33165-2023")</f>
        <v/>
      </c>
      <c r="X12">
        <f>HYPERLINK("https://klasma.github.io/Logging_0120/tillsyn/A 33165-2023 tillsynsbegäran.docx", "A 33165-2023")</f>
        <v/>
      </c>
      <c r="Y12">
        <f>HYPERLINK("https://klasma.github.io/Logging_0120/tillsynsmail/A 33165-2023 tillsynsbegäran mail.docx", "A 33165-2023")</f>
        <v/>
      </c>
    </row>
    <row r="13" ht="15" customHeight="1">
      <c r="A13" t="inlineStr">
        <is>
          <t>A 71315-2021</t>
        </is>
      </c>
      <c r="B13" s="1" t="n">
        <v>44539</v>
      </c>
      <c r="C13" s="1" t="n">
        <v>45688</v>
      </c>
      <c r="D13" t="inlineStr">
        <is>
          <t>STOCKHOLMS LÄN</t>
        </is>
      </c>
      <c r="E13" t="inlineStr">
        <is>
          <t>VÄRMDÖ</t>
        </is>
      </c>
      <c r="F13" t="inlineStr">
        <is>
          <t>Övriga Aktiebolag</t>
        </is>
      </c>
      <c r="G13" t="n">
        <v>5.3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Sårläka</t>
        </is>
      </c>
      <c r="S13">
        <f>HYPERLINK("https://klasma.github.io/Logging_0120/artfynd/A 71315-2021 artfynd.xlsx", "A 71315-2021")</f>
        <v/>
      </c>
      <c r="T13">
        <f>HYPERLINK("https://klasma.github.io/Logging_0120/kartor/A 71315-2021 karta.png", "A 71315-2021")</f>
        <v/>
      </c>
      <c r="V13">
        <f>HYPERLINK("https://klasma.github.io/Logging_0120/klagomål/A 71315-2021 FSC-klagomål.docx", "A 71315-2021")</f>
        <v/>
      </c>
      <c r="W13">
        <f>HYPERLINK("https://klasma.github.io/Logging_0120/klagomålsmail/A 71315-2021 FSC-klagomål mail.docx", "A 71315-2021")</f>
        <v/>
      </c>
      <c r="X13">
        <f>HYPERLINK("https://klasma.github.io/Logging_0120/tillsyn/A 71315-2021 tillsynsbegäran.docx", "A 71315-2021")</f>
        <v/>
      </c>
      <c r="Y13">
        <f>HYPERLINK("https://klasma.github.io/Logging_0120/tillsynsmail/A 71315-2021 tillsynsbegäran mail.docx", "A 71315-2021")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45688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45688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32338-2023</t>
        </is>
      </c>
      <c r="B16" s="1" t="n">
        <v>45120</v>
      </c>
      <c r="C16" s="1" t="n">
        <v>45688</v>
      </c>
      <c r="D16" t="inlineStr">
        <is>
          <t>STOCKHOLMS LÄN</t>
        </is>
      </c>
      <c r="E16" t="inlineStr">
        <is>
          <t>VÄRMDÖ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Strävlosta</t>
        </is>
      </c>
      <c r="S16">
        <f>HYPERLINK("https://klasma.github.io/Logging_0120/artfynd/A 32338-2023 artfynd.xlsx", "A 32338-2023")</f>
        <v/>
      </c>
      <c r="T16">
        <f>HYPERLINK("https://klasma.github.io/Logging_0120/kartor/A 32338-2023 karta.png", "A 32338-2023")</f>
        <v/>
      </c>
      <c r="V16">
        <f>HYPERLINK("https://klasma.github.io/Logging_0120/klagomål/A 32338-2023 FSC-klagomål.docx", "A 32338-2023")</f>
        <v/>
      </c>
      <c r="W16">
        <f>HYPERLINK("https://klasma.github.io/Logging_0120/klagomålsmail/A 32338-2023 FSC-klagomål mail.docx", "A 32338-2023")</f>
        <v/>
      </c>
      <c r="X16">
        <f>HYPERLINK("https://klasma.github.io/Logging_0120/tillsyn/A 32338-2023 tillsynsbegäran.docx", "A 32338-2023")</f>
        <v/>
      </c>
      <c r="Y16">
        <f>HYPERLINK("https://klasma.github.io/Logging_0120/tillsynsmail/A 32338-2023 tillsynsbegäran mail.docx", "A 32338-2023")</f>
        <v/>
      </c>
    </row>
    <row r="17" ht="15" customHeight="1">
      <c r="A17" t="inlineStr">
        <is>
          <t>A 32455-2023</t>
        </is>
      </c>
      <c r="B17" s="1" t="n">
        <v>45120</v>
      </c>
      <c r="C17" s="1" t="n">
        <v>45688</v>
      </c>
      <c r="D17" t="inlineStr">
        <is>
          <t>STOCKHOLMS LÄN</t>
        </is>
      </c>
      <c r="E17" t="inlineStr">
        <is>
          <t>VÄRMDÖ</t>
        </is>
      </c>
      <c r="G17" t="n">
        <v>4.1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HYPERLINK("https://klasma.github.io/Logging_0120/artfynd/A 32455-2023 artfynd.xlsx", "A 32455-2023")</f>
        <v/>
      </c>
      <c r="T17">
        <f>HYPERLINK("https://klasma.github.io/Logging_0120/kartor/A 32455-2023 karta.png", "A 32455-2023")</f>
        <v/>
      </c>
      <c r="V17">
        <f>HYPERLINK("https://klasma.github.io/Logging_0120/klagomål/A 32455-2023 FSC-klagomål.docx", "A 32455-2023")</f>
        <v/>
      </c>
      <c r="W17">
        <f>HYPERLINK("https://klasma.github.io/Logging_0120/klagomålsmail/A 32455-2023 FSC-klagomål mail.docx", "A 32455-2023")</f>
        <v/>
      </c>
      <c r="X17">
        <f>HYPERLINK("https://klasma.github.io/Logging_0120/tillsyn/A 32455-2023 tillsynsbegäran.docx", "A 32455-2023")</f>
        <v/>
      </c>
      <c r="Y17">
        <f>HYPERLINK("https://klasma.github.io/Logging_0120/tillsynsmail/A 32455-2023 tillsynsbegäran mail.docx", "A 32455-2023")</f>
        <v/>
      </c>
    </row>
    <row r="18" ht="15" customHeight="1">
      <c r="A18" t="inlineStr">
        <is>
          <t>A 6412-2024</t>
        </is>
      </c>
      <c r="B18" s="1" t="n">
        <v>45338</v>
      </c>
      <c r="C18" s="1" t="n">
        <v>45688</v>
      </c>
      <c r="D18" t="inlineStr">
        <is>
          <t>STOCKHOLMS LÄN</t>
        </is>
      </c>
      <c r="E18" t="inlineStr">
        <is>
          <t>VÄRMDÖ</t>
        </is>
      </c>
      <c r="G18" t="n">
        <v>2.4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HYPERLINK("https://klasma.github.io/Logging_0120/artfynd/A 6412-2024 artfynd.xlsx", "A 6412-2024")</f>
        <v/>
      </c>
      <c r="T18">
        <f>HYPERLINK("https://klasma.github.io/Logging_0120/kartor/A 6412-2024 karta.png", "A 6412-2024")</f>
        <v/>
      </c>
      <c r="V18">
        <f>HYPERLINK("https://klasma.github.io/Logging_0120/klagomål/A 6412-2024 FSC-klagomål.docx", "A 6412-2024")</f>
        <v/>
      </c>
      <c r="W18">
        <f>HYPERLINK("https://klasma.github.io/Logging_0120/klagomålsmail/A 6412-2024 FSC-klagomål mail.docx", "A 6412-2024")</f>
        <v/>
      </c>
      <c r="X18">
        <f>HYPERLINK("https://klasma.github.io/Logging_0120/tillsyn/A 6412-2024 tillsynsbegäran.docx", "A 6412-2024")</f>
        <v/>
      </c>
      <c r="Y18">
        <f>HYPERLINK("https://klasma.github.io/Logging_0120/tillsynsmail/A 6412-2024 tillsynsbegäran mail.docx", "A 6412-2024")</f>
        <v/>
      </c>
    </row>
    <row r="19" ht="15" customHeight="1">
      <c r="A19" t="inlineStr">
        <is>
          <t>A 23342-2019</t>
        </is>
      </c>
      <c r="B19" s="1" t="n">
        <v>43593</v>
      </c>
      <c r="C19" s="1" t="n">
        <v>45688</v>
      </c>
      <c r="D19" t="inlineStr">
        <is>
          <t>STOCKHOLMS LÄN</t>
        </is>
      </c>
      <c r="E19" t="inlineStr">
        <is>
          <t>VÄRMDÖ</t>
        </is>
      </c>
      <c r="G19" t="n">
        <v>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30529-2019</t>
        </is>
      </c>
      <c r="B20" s="1" t="n">
        <v>43635</v>
      </c>
      <c r="C20" s="1" t="n">
        <v>45688</v>
      </c>
      <c r="D20" t="inlineStr">
        <is>
          <t>STOCKHOLMS LÄN</t>
        </is>
      </c>
      <c r="E20" t="inlineStr">
        <is>
          <t>VÄRMDÖ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31211-2019</t>
        </is>
      </c>
      <c r="B21" s="1" t="n">
        <v>43640</v>
      </c>
      <c r="C21" s="1" t="n">
        <v>45688</v>
      </c>
      <c r="D21" t="inlineStr">
        <is>
          <t>STOCKHOLMS LÄN</t>
        </is>
      </c>
      <c r="E21" t="inlineStr">
        <is>
          <t>VÄRMDÖ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51938-2019</t>
        </is>
      </c>
      <c r="B22" s="1" t="n">
        <v>43741</v>
      </c>
      <c r="C22" s="1" t="n">
        <v>45688</v>
      </c>
      <c r="D22" t="inlineStr">
        <is>
          <t>STOCKHOLMS LÄN</t>
        </is>
      </c>
      <c r="E22" t="inlineStr">
        <is>
          <t>VÄRMDÖ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1388-2020</t>
        </is>
      </c>
      <c r="B23" s="1" t="n">
        <v>43843</v>
      </c>
      <c r="C23" s="1" t="n">
        <v>45688</v>
      </c>
      <c r="D23" t="inlineStr">
        <is>
          <t>STOCKHOLMS LÄN</t>
        </is>
      </c>
      <c r="E23" t="inlineStr">
        <is>
          <t>VÄRMDÖ</t>
        </is>
      </c>
      <c r="F23" t="inlineStr">
        <is>
          <t>Övriga statliga verk och myndigheter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39033-2020</t>
        </is>
      </c>
      <c r="B24" s="1" t="n">
        <v>44062</v>
      </c>
      <c r="C24" s="1" t="n">
        <v>45688</v>
      </c>
      <c r="D24" t="inlineStr">
        <is>
          <t>STOCKHOLMS LÄN</t>
        </is>
      </c>
      <c r="E24" t="inlineStr">
        <is>
          <t>VÄRMDÖ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61048-2020</t>
        </is>
      </c>
      <c r="B25" s="1" t="n">
        <v>44153</v>
      </c>
      <c r="C25" s="1" t="n">
        <v>45688</v>
      </c>
      <c r="D25" t="inlineStr">
        <is>
          <t>STOCKHOLMS LÄN</t>
        </is>
      </c>
      <c r="E25" t="inlineStr">
        <is>
          <t>VÄRMDÖ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63492-2020</t>
        </is>
      </c>
      <c r="B26" s="1" t="n">
        <v>44161</v>
      </c>
      <c r="C26" s="1" t="n">
        <v>45688</v>
      </c>
      <c r="D26" t="inlineStr">
        <is>
          <t>STOCKHOLMS LÄN</t>
        </is>
      </c>
      <c r="E26" t="inlineStr">
        <is>
          <t>VÄRMDÖ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9024-2021</t>
        </is>
      </c>
      <c r="B27" s="1" t="n">
        <v>44249</v>
      </c>
      <c r="C27" s="1" t="n">
        <v>45688</v>
      </c>
      <c r="D27" t="inlineStr">
        <is>
          <t>STOCKHOLMS LÄN</t>
        </is>
      </c>
      <c r="E27" t="inlineStr">
        <is>
          <t>VÄRMDÖ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14008-2021</t>
        </is>
      </c>
      <c r="B28" s="1" t="n">
        <v>44277</v>
      </c>
      <c r="C28" s="1" t="n">
        <v>45688</v>
      </c>
      <c r="D28" t="inlineStr">
        <is>
          <t>STOCKHOLMS LÄN</t>
        </is>
      </c>
      <c r="E28" t="inlineStr">
        <is>
          <t>VÄRMDÖ</t>
        </is>
      </c>
      <c r="F28" t="inlineStr">
        <is>
          <t>Övriga statliga verk och myndigheter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14014-2021</t>
        </is>
      </c>
      <c r="B29" s="1" t="n">
        <v>44277</v>
      </c>
      <c r="C29" s="1" t="n">
        <v>45688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statliga verk och myndigheter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14006-2021</t>
        </is>
      </c>
      <c r="B30" s="1" t="n">
        <v>44277</v>
      </c>
      <c r="C30" s="1" t="n">
        <v>45688</v>
      </c>
      <c r="D30" t="inlineStr">
        <is>
          <t>STOCKHOLMS LÄN</t>
        </is>
      </c>
      <c r="E30" t="inlineStr">
        <is>
          <t>VÄRMDÖ</t>
        </is>
      </c>
      <c r="F30" t="inlineStr">
        <is>
          <t>Övriga statliga verk och myndigheter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15926-2021</t>
        </is>
      </c>
      <c r="B31" s="1" t="n">
        <v>44287</v>
      </c>
      <c r="C31" s="1" t="n">
        <v>45688</v>
      </c>
      <c r="D31" t="inlineStr">
        <is>
          <t>STOCKHOLMS LÄN</t>
        </is>
      </c>
      <c r="E31" t="inlineStr">
        <is>
          <t>VÄRMDÖ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16086-2021</t>
        </is>
      </c>
      <c r="B32" s="1" t="n">
        <v>44288</v>
      </c>
      <c r="C32" s="1" t="n">
        <v>45688</v>
      </c>
      <c r="D32" t="inlineStr">
        <is>
          <t>STOCKHOLMS LÄN</t>
        </is>
      </c>
      <c r="E32" t="inlineStr">
        <is>
          <t>VÄRMDÖ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16090-2021</t>
        </is>
      </c>
      <c r="B33" s="1" t="n">
        <v>44288</v>
      </c>
      <c r="C33" s="1" t="n">
        <v>45688</v>
      </c>
      <c r="D33" t="inlineStr">
        <is>
          <t>STOCKHOLMS LÄN</t>
        </is>
      </c>
      <c r="E33" t="inlineStr">
        <is>
          <t>VÄRMDÖ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16087-2021</t>
        </is>
      </c>
      <c r="B34" s="1" t="n">
        <v>44288</v>
      </c>
      <c r="C34" s="1" t="n">
        <v>45688</v>
      </c>
      <c r="D34" t="inlineStr">
        <is>
          <t>STOCKHOLMS LÄN</t>
        </is>
      </c>
      <c r="E34" t="inlineStr">
        <is>
          <t>VÄRMDÖ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16085-2021</t>
        </is>
      </c>
      <c r="B35" s="1" t="n">
        <v>44288</v>
      </c>
      <c r="C35" s="1" t="n">
        <v>45688</v>
      </c>
      <c r="D35" t="inlineStr">
        <is>
          <t>STOCKHOLMS LÄN</t>
        </is>
      </c>
      <c r="E35" t="inlineStr">
        <is>
          <t>VÄRMDÖ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16091-2021</t>
        </is>
      </c>
      <c r="B36" s="1" t="n">
        <v>44288</v>
      </c>
      <c r="C36" s="1" t="n">
        <v>45688</v>
      </c>
      <c r="D36" t="inlineStr">
        <is>
          <t>STOCKHOLMS LÄN</t>
        </is>
      </c>
      <c r="E36" t="inlineStr">
        <is>
          <t>VÄRMDÖ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22479-2021</t>
        </is>
      </c>
      <c r="B37" s="1" t="n">
        <v>44322</v>
      </c>
      <c r="C37" s="1" t="n">
        <v>45688</v>
      </c>
      <c r="D37" t="inlineStr">
        <is>
          <t>STOCKHOLMS LÄN</t>
        </is>
      </c>
      <c r="E37" t="inlineStr">
        <is>
          <t>VÄRMDÖ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22708-2021</t>
        </is>
      </c>
      <c r="B38" s="1" t="n">
        <v>44327</v>
      </c>
      <c r="C38" s="1" t="n">
        <v>45688</v>
      </c>
      <c r="D38" t="inlineStr">
        <is>
          <t>STOCKHOLMS LÄN</t>
        </is>
      </c>
      <c r="E38" t="inlineStr">
        <is>
          <t>VÄRMDÖ</t>
        </is>
      </c>
      <c r="F38" t="inlineStr">
        <is>
          <t>Övriga Aktiebolag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39073-2021</t>
        </is>
      </c>
      <c r="B39" s="1" t="n">
        <v>44412</v>
      </c>
      <c r="C39" s="1" t="n">
        <v>45688</v>
      </c>
      <c r="D39" t="inlineStr">
        <is>
          <t>STOCKHOLMS LÄN</t>
        </is>
      </c>
      <c r="E39" t="inlineStr">
        <is>
          <t>VÄRMDÖ</t>
        </is>
      </c>
      <c r="G39" t="n">
        <v>8.300000000000001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39109-2021</t>
        </is>
      </c>
      <c r="B40" s="1" t="n">
        <v>44412</v>
      </c>
      <c r="C40" s="1" t="n">
        <v>45688</v>
      </c>
      <c r="D40" t="inlineStr">
        <is>
          <t>STOCKHOLMS LÄN</t>
        </is>
      </c>
      <c r="E40" t="inlineStr">
        <is>
          <t>VÄRMDÖ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39082-2021</t>
        </is>
      </c>
      <c r="B41" s="1" t="n">
        <v>44412</v>
      </c>
      <c r="C41" s="1" t="n">
        <v>45688</v>
      </c>
      <c r="D41" t="inlineStr">
        <is>
          <t>STOCKHOLMS LÄN</t>
        </is>
      </c>
      <c r="E41" t="inlineStr">
        <is>
          <t>VÄRMDÖ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39070-2021</t>
        </is>
      </c>
      <c r="B42" s="1" t="n">
        <v>44412</v>
      </c>
      <c r="C42" s="1" t="n">
        <v>45688</v>
      </c>
      <c r="D42" t="inlineStr">
        <is>
          <t>STOCKHOLMS LÄN</t>
        </is>
      </c>
      <c r="E42" t="inlineStr">
        <is>
          <t>VÄRMDÖ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45572-2021</t>
        </is>
      </c>
      <c r="B43" s="1" t="n">
        <v>44440</v>
      </c>
      <c r="C43" s="1" t="n">
        <v>45688</v>
      </c>
      <c r="D43" t="inlineStr">
        <is>
          <t>STOCKHOLMS LÄN</t>
        </is>
      </c>
      <c r="E43" t="inlineStr">
        <is>
          <t>VÄRMDÖ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49123-2021</t>
        </is>
      </c>
      <c r="B44" s="1" t="n">
        <v>44453</v>
      </c>
      <c r="C44" s="1" t="n">
        <v>45688</v>
      </c>
      <c r="D44" t="inlineStr">
        <is>
          <t>STOCKHOLMS LÄN</t>
        </is>
      </c>
      <c r="E44" t="inlineStr">
        <is>
          <t>VÄRMDÖ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71317-2021</t>
        </is>
      </c>
      <c r="B45" s="1" t="n">
        <v>44539</v>
      </c>
      <c r="C45" s="1" t="n">
        <v>45688</v>
      </c>
      <c r="D45" t="inlineStr">
        <is>
          <t>STOCKHOLMS LÄN</t>
        </is>
      </c>
      <c r="E45" t="inlineStr">
        <is>
          <t>VÄRMDÖ</t>
        </is>
      </c>
      <c r="F45" t="inlineStr">
        <is>
          <t>Övriga Aktiebolag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71318-2021</t>
        </is>
      </c>
      <c r="B46" s="1" t="n">
        <v>44539</v>
      </c>
      <c r="C46" s="1" t="n">
        <v>45688</v>
      </c>
      <c r="D46" t="inlineStr">
        <is>
          <t>STOCKHOLMS LÄN</t>
        </is>
      </c>
      <c r="E46" t="inlineStr">
        <is>
          <t>VÄRMDÖ</t>
        </is>
      </c>
      <c r="F46" t="inlineStr">
        <is>
          <t>Övriga Aktiebolag</t>
        </is>
      </c>
      <c r="G46" t="n">
        <v>9.1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72097-2021</t>
        </is>
      </c>
      <c r="B47" s="1" t="n">
        <v>44544</v>
      </c>
      <c r="C47" s="1" t="n">
        <v>45688</v>
      </c>
      <c r="D47" t="inlineStr">
        <is>
          <t>STOCKHOLMS LÄN</t>
        </is>
      </c>
      <c r="E47" t="inlineStr">
        <is>
          <t>VÄRMDÖ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72108-2021</t>
        </is>
      </c>
      <c r="B48" s="1" t="n">
        <v>44544</v>
      </c>
      <c r="C48" s="1" t="n">
        <v>45688</v>
      </c>
      <c r="D48" t="inlineStr">
        <is>
          <t>STOCKHOLMS LÄN</t>
        </is>
      </c>
      <c r="E48" t="inlineStr">
        <is>
          <t>VÄRMDÖ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72176-2021</t>
        </is>
      </c>
      <c r="B49" s="1" t="n">
        <v>44544</v>
      </c>
      <c r="C49" s="1" t="n">
        <v>45688</v>
      </c>
      <c r="D49" t="inlineStr">
        <is>
          <t>STOCKHOLMS LÄN</t>
        </is>
      </c>
      <c r="E49" t="inlineStr">
        <is>
          <t>VÄRMDÖ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3057-2022</t>
        </is>
      </c>
      <c r="B50" s="1" t="n">
        <v>44582</v>
      </c>
      <c r="C50" s="1" t="n">
        <v>45688</v>
      </c>
      <c r="D50" t="inlineStr">
        <is>
          <t>STOCKHOLMS LÄN</t>
        </is>
      </c>
      <c r="E50" t="inlineStr">
        <is>
          <t>VÄRMDÖ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3827-2022</t>
        </is>
      </c>
      <c r="B51" s="1" t="n">
        <v>44587</v>
      </c>
      <c r="C51" s="1" t="n">
        <v>45688</v>
      </c>
      <c r="D51" t="inlineStr">
        <is>
          <t>STOCKHOLMS LÄN</t>
        </is>
      </c>
      <c r="E51" t="inlineStr">
        <is>
          <t>VÄRMDÖ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9019-2022</t>
        </is>
      </c>
      <c r="B52" s="1" t="n">
        <v>44615</v>
      </c>
      <c r="C52" s="1" t="n">
        <v>45688</v>
      </c>
      <c r="D52" t="inlineStr">
        <is>
          <t>STOCKHOLMS LÄN</t>
        </is>
      </c>
      <c r="E52" t="inlineStr">
        <is>
          <t>VÄRMDÖ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14936-2022</t>
        </is>
      </c>
      <c r="B53" s="1" t="n">
        <v>44657</v>
      </c>
      <c r="C53" s="1" t="n">
        <v>45688</v>
      </c>
      <c r="D53" t="inlineStr">
        <is>
          <t>STOCKHOLMS LÄN</t>
        </is>
      </c>
      <c r="E53" t="inlineStr">
        <is>
          <t>VÄRMDÖ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20641-2022</t>
        </is>
      </c>
      <c r="B54" s="1" t="n">
        <v>44700</v>
      </c>
      <c r="C54" s="1" t="n">
        <v>45688</v>
      </c>
      <c r="D54" t="inlineStr">
        <is>
          <t>STOCKHOLMS LÄN</t>
        </is>
      </c>
      <c r="E54" t="inlineStr">
        <is>
          <t>VÄRMDÖ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33046-2022</t>
        </is>
      </c>
      <c r="B55" s="1" t="n">
        <v>44785</v>
      </c>
      <c r="C55" s="1" t="n">
        <v>45688</v>
      </c>
      <c r="D55" t="inlineStr">
        <is>
          <t>STOCKHOLMS LÄN</t>
        </is>
      </c>
      <c r="E55" t="inlineStr">
        <is>
          <t>VÄRMDÖ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54056-2022</t>
        </is>
      </c>
      <c r="B56" s="1" t="n">
        <v>44876</v>
      </c>
      <c r="C56" s="1" t="n">
        <v>45688</v>
      </c>
      <c r="D56" t="inlineStr">
        <is>
          <t>STOCKHOLMS LÄN</t>
        </is>
      </c>
      <c r="E56" t="inlineStr">
        <is>
          <t>VÄRMDÖ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114-2023</t>
        </is>
      </c>
      <c r="B57" s="1" t="n">
        <v>44918</v>
      </c>
      <c r="C57" s="1" t="n">
        <v>45688</v>
      </c>
      <c r="D57" t="inlineStr">
        <is>
          <t>STOCKHOLMS LÄN</t>
        </is>
      </c>
      <c r="E57" t="inlineStr">
        <is>
          <t>VÄRMDÖ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2271-2023</t>
        </is>
      </c>
      <c r="B58" s="1" t="n">
        <v>44938</v>
      </c>
      <c r="C58" s="1" t="n">
        <v>45688</v>
      </c>
      <c r="D58" t="inlineStr">
        <is>
          <t>STOCKHOLMS LÄN</t>
        </is>
      </c>
      <c r="E58" t="inlineStr">
        <is>
          <t>VÄRMDÖ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2240-2023</t>
        </is>
      </c>
      <c r="B59" s="1" t="n">
        <v>44938</v>
      </c>
      <c r="C59" s="1" t="n">
        <v>45688</v>
      </c>
      <c r="D59" t="inlineStr">
        <is>
          <t>STOCKHOLMS LÄN</t>
        </is>
      </c>
      <c r="E59" t="inlineStr">
        <is>
          <t>VÄRMDÖ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8756-2023</t>
        </is>
      </c>
      <c r="B60" s="1" t="n">
        <v>44972</v>
      </c>
      <c r="C60" s="1" t="n">
        <v>45688</v>
      </c>
      <c r="D60" t="inlineStr">
        <is>
          <t>STOCKHOLMS LÄN</t>
        </is>
      </c>
      <c r="E60" t="inlineStr">
        <is>
          <t>VÄRMDÖ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14244-2023</t>
        </is>
      </c>
      <c r="B61" s="1" t="n">
        <v>45009</v>
      </c>
      <c r="C61" s="1" t="n">
        <v>45688</v>
      </c>
      <c r="D61" t="inlineStr">
        <is>
          <t>STOCKHOLMS LÄN</t>
        </is>
      </c>
      <c r="E61" t="inlineStr">
        <is>
          <t>VÄRMDÖ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19138-2023</t>
        </is>
      </c>
      <c r="B62" s="1" t="n">
        <v>45048</v>
      </c>
      <c r="C62" s="1" t="n">
        <v>45688</v>
      </c>
      <c r="D62" t="inlineStr">
        <is>
          <t>STOCKHOLMS LÄN</t>
        </is>
      </c>
      <c r="E62" t="inlineStr">
        <is>
          <t>VÄRMDÖ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20053-2023</t>
        </is>
      </c>
      <c r="B63" s="1" t="n">
        <v>45054</v>
      </c>
      <c r="C63" s="1" t="n">
        <v>45688</v>
      </c>
      <c r="D63" t="inlineStr">
        <is>
          <t>STOCKHOLMS LÄN</t>
        </is>
      </c>
      <c r="E63" t="inlineStr">
        <is>
          <t>VÄRMDÖ</t>
        </is>
      </c>
      <c r="F63" t="inlineStr">
        <is>
          <t>Övriga Aktiebolag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23720-2023</t>
        </is>
      </c>
      <c r="B64" s="1" t="n">
        <v>45077</v>
      </c>
      <c r="C64" s="1" t="n">
        <v>45688</v>
      </c>
      <c r="D64" t="inlineStr">
        <is>
          <t>STOCKHOLMS LÄN</t>
        </is>
      </c>
      <c r="E64" t="inlineStr">
        <is>
          <t>VÄRMDÖ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30002-2023</t>
        </is>
      </c>
      <c r="B65" s="1" t="n">
        <v>45109</v>
      </c>
      <c r="C65" s="1" t="n">
        <v>45688</v>
      </c>
      <c r="D65" t="inlineStr">
        <is>
          <t>STOCKHOLMS LÄN</t>
        </is>
      </c>
      <c r="E65" t="inlineStr">
        <is>
          <t>VÄRMDÖ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32286-2023</t>
        </is>
      </c>
      <c r="B66" s="1" t="n">
        <v>45120</v>
      </c>
      <c r="C66" s="1" t="n">
        <v>45688</v>
      </c>
      <c r="D66" t="inlineStr">
        <is>
          <t>STOCKHOLMS LÄN</t>
        </is>
      </c>
      <c r="E66" t="inlineStr">
        <is>
          <t>VÄRMDÖ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32458-2023</t>
        </is>
      </c>
      <c r="B67" s="1" t="n">
        <v>45120</v>
      </c>
      <c r="C67" s="1" t="n">
        <v>45688</v>
      </c>
      <c r="D67" t="inlineStr">
        <is>
          <t>STOCKHOLMS LÄN</t>
        </is>
      </c>
      <c r="E67" t="inlineStr">
        <is>
          <t>VÄRMDÖ</t>
        </is>
      </c>
      <c r="G67" t="n">
        <v>12.5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33958-2023</t>
        </is>
      </c>
      <c r="B68" s="1" t="n">
        <v>45124</v>
      </c>
      <c r="C68" s="1" t="n">
        <v>45688</v>
      </c>
      <c r="D68" t="inlineStr">
        <is>
          <t>STOCKHOLMS LÄN</t>
        </is>
      </c>
      <c r="E68" t="inlineStr">
        <is>
          <t>VÄRMDÖ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33164-2023</t>
        </is>
      </c>
      <c r="B69" s="1" t="n">
        <v>45126</v>
      </c>
      <c r="C69" s="1" t="n">
        <v>45688</v>
      </c>
      <c r="D69" t="inlineStr">
        <is>
          <t>STOCKHOLMS LÄN</t>
        </is>
      </c>
      <c r="E69" t="inlineStr">
        <is>
          <t>VÄRMDÖ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33167-2023</t>
        </is>
      </c>
      <c r="B70" s="1" t="n">
        <v>45126</v>
      </c>
      <c r="C70" s="1" t="n">
        <v>45688</v>
      </c>
      <c r="D70" t="inlineStr">
        <is>
          <t>STOCKHOLMS LÄN</t>
        </is>
      </c>
      <c r="E70" t="inlineStr">
        <is>
          <t>VÄRMDÖ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36148-2023</t>
        </is>
      </c>
      <c r="B71" s="1" t="n">
        <v>45149</v>
      </c>
      <c r="C71" s="1" t="n">
        <v>45688</v>
      </c>
      <c r="D71" t="inlineStr">
        <is>
          <t>STOCKHOLMS LÄN</t>
        </is>
      </c>
      <c r="E71" t="inlineStr">
        <is>
          <t>VÄRMDÖ</t>
        </is>
      </c>
      <c r="F71" t="inlineStr">
        <is>
          <t>Övriga statliga verk och myndigheter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40597-2023</t>
        </is>
      </c>
      <c r="B72" s="1" t="n">
        <v>45170</v>
      </c>
      <c r="C72" s="1" t="n">
        <v>45688</v>
      </c>
      <c r="D72" t="inlineStr">
        <is>
          <t>STOCKHOLMS LÄN</t>
        </is>
      </c>
      <c r="E72" t="inlineStr">
        <is>
          <t>VÄRMDÖ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9966-2024</t>
        </is>
      </c>
      <c r="B73" s="1" t="n">
        <v>45363</v>
      </c>
      <c r="C73" s="1" t="n">
        <v>45688</v>
      </c>
      <c r="D73" t="inlineStr">
        <is>
          <t>STOCKHOLMS LÄN</t>
        </is>
      </c>
      <c r="E73" t="inlineStr">
        <is>
          <t>VÄRMDÖ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9964-2024</t>
        </is>
      </c>
      <c r="B74" s="1" t="n">
        <v>45363</v>
      </c>
      <c r="C74" s="1" t="n">
        <v>45688</v>
      </c>
      <c r="D74" t="inlineStr">
        <is>
          <t>STOCKHOLMS LÄN</t>
        </is>
      </c>
      <c r="E74" t="inlineStr">
        <is>
          <t>VÄRMDÖ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17624-2024</t>
        </is>
      </c>
      <c r="B75" s="1" t="n">
        <v>45417</v>
      </c>
      <c r="C75" s="1" t="n">
        <v>45688</v>
      </c>
      <c r="D75" t="inlineStr">
        <is>
          <t>STOCKHOLMS LÄN</t>
        </is>
      </c>
      <c r="E75" t="inlineStr">
        <is>
          <t>VÄRMDÖ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17623-2024</t>
        </is>
      </c>
      <c r="B76" s="1" t="n">
        <v>45417</v>
      </c>
      <c r="C76" s="1" t="n">
        <v>45688</v>
      </c>
      <c r="D76" t="inlineStr">
        <is>
          <t>STOCKHOLMS LÄN</t>
        </is>
      </c>
      <c r="E76" t="inlineStr">
        <is>
          <t>VÄRMDÖ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28590-2024</t>
        </is>
      </c>
      <c r="B77" s="1" t="n">
        <v>45478</v>
      </c>
      <c r="C77" s="1" t="n">
        <v>45688</v>
      </c>
      <c r="D77" t="inlineStr">
        <is>
          <t>STOCKHOLMS LÄN</t>
        </is>
      </c>
      <c r="E77" t="inlineStr">
        <is>
          <t>VÄRMDÖ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33061-2024</t>
        </is>
      </c>
      <c r="B78" s="1" t="n">
        <v>45517</v>
      </c>
      <c r="C78" s="1" t="n">
        <v>45688</v>
      </c>
      <c r="D78" t="inlineStr">
        <is>
          <t>STOCKHOLMS LÄN</t>
        </is>
      </c>
      <c r="E78" t="inlineStr">
        <is>
          <t>VÄRMDÖ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35561-2024</t>
        </is>
      </c>
      <c r="B79" s="1" t="n">
        <v>45531</v>
      </c>
      <c r="C79" s="1" t="n">
        <v>45688</v>
      </c>
      <c r="D79" t="inlineStr">
        <is>
          <t>STOCKHOLMS LÄN</t>
        </is>
      </c>
      <c r="E79" t="inlineStr">
        <is>
          <t>VÄRMDÖ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35565-2024</t>
        </is>
      </c>
      <c r="B80" s="1" t="n">
        <v>45531</v>
      </c>
      <c r="C80" s="1" t="n">
        <v>45688</v>
      </c>
      <c r="D80" t="inlineStr">
        <is>
          <t>STOCKHOLMS LÄN</t>
        </is>
      </c>
      <c r="E80" t="inlineStr">
        <is>
          <t>VÄRMDÖ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36140-2024</t>
        </is>
      </c>
      <c r="B81" s="1" t="n">
        <v>45534</v>
      </c>
      <c r="C81" s="1" t="n">
        <v>45688</v>
      </c>
      <c r="D81" t="inlineStr">
        <is>
          <t>STOCKHOLMS LÄN</t>
        </is>
      </c>
      <c r="E81" t="inlineStr">
        <is>
          <t>VÄRMDÖ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49985-2024</t>
        </is>
      </c>
      <c r="B82" s="1" t="n">
        <v>45595</v>
      </c>
      <c r="C82" s="1" t="n">
        <v>45688</v>
      </c>
      <c r="D82" t="inlineStr">
        <is>
          <t>STOCKHOLMS LÄN</t>
        </is>
      </c>
      <c r="E82" t="inlineStr">
        <is>
          <t>VÄRMDÖ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49568-2024</t>
        </is>
      </c>
      <c r="B83" s="1" t="n">
        <v>45596</v>
      </c>
      <c r="C83" s="1" t="n">
        <v>45688</v>
      </c>
      <c r="D83" t="inlineStr">
        <is>
          <t>STOCKHOLMS LÄN</t>
        </is>
      </c>
      <c r="E83" t="inlineStr">
        <is>
          <t>VÄRMDÖ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55111-2024</t>
        </is>
      </c>
      <c r="B84" s="1" t="n">
        <v>45621</v>
      </c>
      <c r="C84" s="1" t="n">
        <v>45688</v>
      </c>
      <c r="D84" t="inlineStr">
        <is>
          <t>STOCKHOLMS LÄN</t>
        </is>
      </c>
      <c r="E84" t="inlineStr">
        <is>
          <t>VÄRMDÖ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2025-01-31T22:05:50Z</dcterms:created>
  <dcterms:modified xmlns:dcterms="http://purl.org/dc/terms/" xmlns:xsi="http://www.w3.org/2001/XMLSchema-instance" xsi:type="dcterms:W3CDTF">2025-01-31T22:05:50Z</dcterms:modified>
</cp:coreProperties>
</file>