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46231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46231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46231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46231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46231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46231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46231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46231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46231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46231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46231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46231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46231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HYPERLINK("https://klasma.github.io/Logging_0120/artfynd/A 20373-2025 artfynd.xlsx", "A 20373-2025")</f>
        <v/>
      </c>
      <c r="X18">
        <f>HYPERLINK("https://klasma.github.io/Logging_0120/kartor/A 20373-2025 karta.png", "A 20373-2025")</f>
        <v/>
      </c>
      <c r="Y18">
        <f>HYPERLINK("https://klasma.github.io/Logging_0120/kartor_geotiff/A 20373-2025 georefererad karta.tif", "A 20373-2025")</f>
        <v/>
      </c>
      <c r="AA18">
        <f>HYPERLINK("https://klasma.github.io/Logging_0120/klagomål/A 20373-2025 FSC-klagomål.docx", "A 20373-2025")</f>
        <v/>
      </c>
      <c r="AB18">
        <f>HYPERLINK("https://klasma.github.io/Logging_0120/klagomålsmail/A 20373-2025 FSC-klagomål mail.docx", "A 20373-2025")</f>
        <v/>
      </c>
      <c r="AC18">
        <f>HYPERLINK("https://klasma.github.io/Logging_0120/tillsyn/A 20373-2025 tillsynsbegäran.docx", "A 20373-2025")</f>
        <v/>
      </c>
      <c r="AD18">
        <f>HYPERLINK("https://klasma.github.io/Logging_0120/tillsynsmail/A 20373-2025 tillsynsbegäran mail.docx", "A 20373-2025")</f>
        <v/>
      </c>
    </row>
    <row r="19" ht="15" customHeight="1">
      <c r="A19" t="inlineStr">
        <is>
          <t>A 28354-2026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46231</v>
      </c>
      <c r="F19" t="inlineStr">
        <is>
          <t>STOCKHOLMS LÄN</t>
        </is>
      </c>
      <c r="G19" t="inlineStr">
        <is>
          <t>VÄRMDÖ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Tallticka</t>
        </is>
      </c>
      <c r="W19">
        <f>HYPERLINK("https://klasma.github.io/Logging_0120/artfynd/A 28354-2026 artfynd.xlsx", "A 28354-2026")</f>
        <v/>
      </c>
      <c r="X19">
        <f>HYPERLINK("https://klasma.github.io/Logging_0120/kartor/A 28354-2026 karta.png", "A 28354-2026")</f>
        <v/>
      </c>
      <c r="Y19">
        <f>HYPERLINK("https://klasma.github.io/Logging_0120/kartor_geotiff/A 28354-2026 georefererad karta.tif", "A 28354-2026")</f>
        <v/>
      </c>
      <c r="AA19">
        <f>HYPERLINK("https://klasma.github.io/Logging_0120/klagomål/A 28354-2026 FSC-klagomål.docx", "A 28354-2026")</f>
        <v/>
      </c>
      <c r="AB19">
        <f>HYPERLINK("https://klasma.github.io/Logging_0120/klagomålsmail/A 28354-2026 FSC-klagomål mail.docx", "A 28354-2026")</f>
        <v/>
      </c>
      <c r="AC19">
        <f>HYPERLINK("https://klasma.github.io/Logging_0120/tillsyn/A 28354-2026 tillsynsbegäran.docx", "A 28354-2026")</f>
        <v/>
      </c>
      <c r="AD19">
        <f>HYPERLINK("https://klasma.github.io/Logging_0120/tillsynsmail/A 28354-2026 tillsynsbegäran mail.docx", "A 28354-2026")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46231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46231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46231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46231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46231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46231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46231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46231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46231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46231</v>
      </c>
      <c r="F29" t="inlineStr">
        <is>
          <t>STOCKHOLMS LÄN</t>
        </is>
      </c>
      <c r="G29" t="inlineStr">
        <is>
          <t>VÄRMDÖ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46231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46231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20053-2023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45054</v>
      </c>
      <c r="E32" s="1" t="n">
        <v>46231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Aktiebolag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32458-2023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46231</v>
      </c>
      <c r="F33" t="inlineStr">
        <is>
          <t>STOCKHOLMS LÄN</t>
        </is>
      </c>
      <c r="G33" t="inlineStr">
        <is>
          <t>VÄRMDÖ</t>
        </is>
      </c>
      <c r="I33" t="n">
        <v>12.5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46231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46231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46231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46231</v>
      </c>
      <c r="F37" t="inlineStr">
        <is>
          <t>STOCKHOLMS LÄN</t>
        </is>
      </c>
      <c r="G37" t="inlineStr">
        <is>
          <t>VÄRMDÖ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46231</v>
      </c>
      <c r="F38" t="inlineStr">
        <is>
          <t>STOCKHOLMS LÄN</t>
        </is>
      </c>
      <c r="G38" t="inlineStr">
        <is>
          <t>VÄRMDÖ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44587</v>
      </c>
      <c r="E39" s="1" t="n">
        <v>46231</v>
      </c>
      <c r="F39" t="inlineStr">
        <is>
          <t>STOCKHOLMS LÄN</t>
        </is>
      </c>
      <c r="G39" t="inlineStr">
        <is>
          <t>VÄRMDÖ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30002-2023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45109</v>
      </c>
      <c r="E40" s="1" t="n">
        <v>46231</v>
      </c>
      <c r="F40" t="inlineStr">
        <is>
          <t>STOCKHOLMS LÄN</t>
        </is>
      </c>
      <c r="G40" t="inlineStr">
        <is>
          <t>VÄRMDÖ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39082-2021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44412</v>
      </c>
      <c r="E41" s="1" t="n">
        <v>46231</v>
      </c>
      <c r="F41" t="inlineStr">
        <is>
          <t>STOCKHOLMS LÄN</t>
        </is>
      </c>
      <c r="G41" t="inlineStr">
        <is>
          <t>VÄRMDÖ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8756-2023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46231</v>
      </c>
      <c r="F42" t="inlineStr">
        <is>
          <t>STOCKHOLMS LÄN</t>
        </is>
      </c>
      <c r="G42" t="inlineStr">
        <is>
          <t>VÄRMDÖ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28590-2024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46231</v>
      </c>
      <c r="F43" t="inlineStr">
        <is>
          <t>STOCKHOLMS LÄN</t>
        </is>
      </c>
      <c r="G43" t="inlineStr">
        <is>
          <t>VÄRMDÖ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46231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46231</v>
      </c>
      <c r="F45" t="inlineStr">
        <is>
          <t>STOCKHOLMS LÄN</t>
        </is>
      </c>
      <c r="G45" t="inlineStr">
        <is>
          <t>VÄRMDÖ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44918</v>
      </c>
      <c r="E46" s="1" t="n">
        <v>46231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46231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46231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46231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46231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46231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46231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46231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46231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46231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46231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2026-07-28T01:46:57Z</dcterms:created>
  <dcterms:modified xmlns:dcterms="http://purl.org/dc/terms/" xmlns:xsi="http://www.w3.org/2001/XMLSchema-instance" xsi:type="dcterms:W3CDTF">2026-07-28T01:46:57Z</dcterms:modified>
</cp:coreProperties>
</file>