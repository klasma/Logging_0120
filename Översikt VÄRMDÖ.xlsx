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46232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46232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46232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46232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46232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46232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46232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46232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46232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46232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33046-2022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44785</v>
      </c>
      <c r="E16" s="1" t="n">
        <v>46232</v>
      </c>
      <c r="F16" t="inlineStr">
        <is>
          <t>STOCKHOLMS LÄN</t>
        </is>
      </c>
      <c r="G16" t="inlineStr">
        <is>
          <t>VÄRMDÖ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HYPERLINK("https://klasma.github.io/Logging_0120/artfynd/A 33046-2022 artfynd.xlsx", "A 33046-2022")</f>
        <v/>
      </c>
      <c r="X16">
        <f>HYPERLINK("https://klasma.github.io/Logging_0120/kartor/A 33046-2022 karta.png", "A 33046-2022")</f>
        <v/>
      </c>
      <c r="Y16">
        <f>HYPERLINK("https://klasma.github.io/Logging_0120/kartor_geotiff/A 33046-2022 georefererad karta.tif", "A 33046-2022")</f>
        <v/>
      </c>
      <c r="AA16">
        <f>HYPERLINK("https://klasma.github.io/Logging_0120/klagomål/A 33046-2022 FSC-klagomål.docx", "A 33046-2022")</f>
        <v/>
      </c>
      <c r="AB16">
        <f>HYPERLINK("https://klasma.github.io/Logging_0120/klagomålsmail/A 33046-2022 FSC-klagomål mail.docx", "A 33046-2022")</f>
        <v/>
      </c>
      <c r="AC16">
        <f>HYPERLINK("https://klasma.github.io/Logging_0120/tillsyn/A 33046-2022 tillsynsbegäran.docx", "A 33046-2022")</f>
        <v/>
      </c>
      <c r="AD16">
        <f>HYPERLINK("https://klasma.github.io/Logging_0120/tillsynsmail/A 33046-2022 tillsynsbegäran mail.docx", "A 33046-2022")</f>
        <v/>
      </c>
      <c r="AE16">
        <f>HYPERLINK("https://klasma.github.io/Logging_0120/fåglar/A 33046-2022 prioriterade fågelarter.docx", "A 33046-2022")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46232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HYPERLINK("https://klasma.github.io/Logging_0120/artfynd/A 54056-2022 artfynd.xlsx", "A 54056-2022")</f>
        <v/>
      </c>
      <c r="X17">
        <f>HYPERLINK("https://klasma.github.io/Logging_0120/kartor/A 54056-2022 karta.png", "A 54056-2022")</f>
        <v/>
      </c>
      <c r="Y17">
        <f>HYPERLINK("https://klasma.github.io/Logging_0120/kartor_geotiff/A 54056-2022 georefererad karta.tif", "A 54056-2022")</f>
        <v/>
      </c>
      <c r="AA17">
        <f>HYPERLINK("https://klasma.github.io/Logging_0120/klagomål/A 54056-2022 FSC-klagomål.docx", "A 54056-2022")</f>
        <v/>
      </c>
      <c r="AB17">
        <f>HYPERLINK("https://klasma.github.io/Logging_0120/klagomålsmail/A 54056-2022 FSC-klagomål mail.docx", "A 54056-2022")</f>
        <v/>
      </c>
      <c r="AC17">
        <f>HYPERLINK("https://klasma.github.io/Logging_0120/tillsyn/A 54056-2022 tillsynsbegäran.docx", "A 54056-2022")</f>
        <v/>
      </c>
      <c r="AD17">
        <f>HYPERLINK("https://klasma.github.io/Logging_0120/tillsynsmail/A 54056-2022 tillsynsbegäran mail.docx", "A 54056-2022")</f>
        <v/>
      </c>
    </row>
    <row r="18" ht="15" customHeight="1">
      <c r="A18" t="inlineStr">
        <is>
          <t>A 28354-2026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46232</v>
      </c>
      <c r="F18" t="inlineStr">
        <is>
          <t>STOCKHOLMS LÄN</t>
        </is>
      </c>
      <c r="G18" t="inlineStr">
        <is>
          <t>VÄRMDÖ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Tallticka</t>
        </is>
      </c>
      <c r="W18">
        <f>HYPERLINK("https://klasma.github.io/Logging_0120/artfynd/A 28354-2026 artfynd.xlsx", "A 28354-2026")</f>
        <v/>
      </c>
      <c r="X18">
        <f>HYPERLINK("https://klasma.github.io/Logging_0120/kartor/A 28354-2026 karta.png", "A 28354-2026")</f>
        <v/>
      </c>
      <c r="Y18">
        <f>HYPERLINK("https://klasma.github.io/Logging_0120/kartor_geotiff/A 28354-2026 georefererad karta.tif", "A 28354-2026")</f>
        <v/>
      </c>
      <c r="AA18">
        <f>HYPERLINK("https://klasma.github.io/Logging_0120/klagomål/A 28354-2026 FSC-klagomål.docx", "A 28354-2026")</f>
        <v/>
      </c>
      <c r="AB18">
        <f>HYPERLINK("https://klasma.github.io/Logging_0120/klagomålsmail/A 28354-2026 FSC-klagomål mail.docx", "A 28354-2026")</f>
        <v/>
      </c>
      <c r="AC18">
        <f>HYPERLINK("https://klasma.github.io/Logging_0120/tillsyn/A 28354-2026 tillsynsbegäran.docx", "A 28354-2026")</f>
        <v/>
      </c>
      <c r="AD18">
        <f>HYPERLINK("https://klasma.github.io/Logging_0120/tillsynsmail/A 28354-2026 tillsynsbegäran mail.docx", "A 28354-2026")</f>
        <v/>
      </c>
    </row>
    <row r="19" ht="15" customHeight="1">
      <c r="A19" t="inlineStr">
        <is>
          <t>A 30154-2022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44757</v>
      </c>
      <c r="E19" s="1" t="n">
        <v>46232</v>
      </c>
      <c r="F19" t="inlineStr">
        <is>
          <t>STOCKHOLMS LÄN</t>
        </is>
      </c>
      <c r="G19" t="inlineStr">
        <is>
          <t>VÄRMDÖ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HYPERLINK("https://klasma.github.io/Logging_0120/artfynd/A 30154-2022 artfynd.xlsx", "A 30154-2022")</f>
        <v/>
      </c>
      <c r="X19">
        <f>HYPERLINK("https://klasma.github.io/Logging_0120/kartor/A 30154-2022 karta.png", "A 30154-2022")</f>
        <v/>
      </c>
      <c r="Y19">
        <f>HYPERLINK("https://klasma.github.io/Logging_0120/kartor_geotiff/A 30154-2022 georefererad karta.tif", "A 30154-2022")</f>
        <v/>
      </c>
      <c r="AA19">
        <f>HYPERLINK("https://klasma.github.io/Logging_0120/klagomål/A 30154-2022 FSC-klagomål.docx", "A 30154-2022")</f>
        <v/>
      </c>
      <c r="AB19">
        <f>HYPERLINK("https://klasma.github.io/Logging_0120/klagomålsmail/A 30154-2022 FSC-klagomål mail.docx", "A 30154-2022")</f>
        <v/>
      </c>
      <c r="AC19">
        <f>HYPERLINK("https://klasma.github.io/Logging_0120/tillsyn/A 30154-2022 tillsynsbegäran.docx", "A 30154-2022")</f>
        <v/>
      </c>
      <c r="AD19">
        <f>HYPERLINK("https://klasma.github.io/Logging_0120/tillsynsmail/A 30154-2022 tillsynsbegäran mail.docx", "A 30154-2022")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46232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46232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46232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46232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46232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46232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46232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46232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46232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32458-2023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45120</v>
      </c>
      <c r="E29" s="1" t="n">
        <v>46232</v>
      </c>
      <c r="F29" t="inlineStr">
        <is>
          <t>STOCKHOLMS LÄN</t>
        </is>
      </c>
      <c r="G29" t="inlineStr">
        <is>
          <t>VÄRMDÖ</t>
        </is>
      </c>
      <c r="I29" t="n">
        <v>12.5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46232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46232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33958-2023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46232</v>
      </c>
      <c r="F32" t="inlineStr">
        <is>
          <t>STOCKHOLMS LÄN</t>
        </is>
      </c>
      <c r="G32" t="inlineStr">
        <is>
          <t>VÄRMDÖ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45417</v>
      </c>
      <c r="E33" s="1" t="n">
        <v>46232</v>
      </c>
      <c r="F33" t="inlineStr">
        <is>
          <t>STOCKHOLMS LÄN</t>
        </is>
      </c>
      <c r="G33" t="inlineStr">
        <is>
          <t>VÄRMDÖ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39082-2021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44412</v>
      </c>
      <c r="E34" s="1" t="n">
        <v>46232</v>
      </c>
      <c r="F34" t="inlineStr">
        <is>
          <t>STOCKHOLMS LÄN</t>
        </is>
      </c>
      <c r="G34" t="inlineStr">
        <is>
          <t>VÄRMDÖ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46232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28590-2024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46232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46232</v>
      </c>
      <c r="F37" t="inlineStr">
        <is>
          <t>STOCKHOLMS LÄN</t>
        </is>
      </c>
      <c r="G37" t="inlineStr">
        <is>
          <t>VÄRMDÖ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46232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46232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46232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46232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46232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46232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24622-2026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46232</v>
      </c>
      <c r="F44" t="inlineStr">
        <is>
          <t>STOCKHOLMS LÄN</t>
        </is>
      </c>
      <c r="G44" t="inlineStr">
        <is>
          <t>VÄRMDÖ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44918</v>
      </c>
      <c r="E45" s="1" t="n">
        <v>46232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46232</v>
      </c>
      <c r="F46" t="inlineStr">
        <is>
          <t>STOCKHOLMS LÄN</t>
        </is>
      </c>
      <c r="G46" t="inlineStr">
        <is>
          <t>VÄRMDÖ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46232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46232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46232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46232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46232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46232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46232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46232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46232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46232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2026-07-29T01:52:41Z</dcterms:created>
  <dcterms:modified xmlns:dcterms="http://purl.org/dc/terms/" xmlns:xsi="http://www.w3.org/2001/XMLSchema-instance" xsi:type="dcterms:W3CDTF">2026-07-29T01:52:41Z</dcterms:modified>
</cp:coreProperties>
</file>