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45918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45918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45918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45918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45918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45918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45918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45918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45918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30154-2022</t>
        </is>
      </c>
      <c r="B11" s="1" t="n">
        <v>44757</v>
      </c>
      <c r="C11" s="1" t="n">
        <v>45918</v>
      </c>
      <c r="D11" t="inlineStr">
        <is>
          <t>STOCKHOLMS LÄN</t>
        </is>
      </c>
      <c r="E11" t="inlineStr">
        <is>
          <t>VÄRMDÖ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HYPERLINK("https://klasma.github.io/Logging_0120/artfynd/A 30154-2022 artfynd.xlsx", "A 30154-2022")</f>
        <v/>
      </c>
      <c r="T11">
        <f>HYPERLINK("https://klasma.github.io/Logging_0120/kartor/A 30154-2022 karta.png", "A 30154-2022")</f>
        <v/>
      </c>
      <c r="V11">
        <f>HYPERLINK("https://klasma.github.io/Logging_0120/klagomål/A 30154-2022 FSC-klagomål.docx", "A 30154-2022")</f>
        <v/>
      </c>
      <c r="W11">
        <f>HYPERLINK("https://klasma.github.io/Logging_0120/klagomålsmail/A 30154-2022 FSC-klagomål mail.docx", "A 30154-2022")</f>
        <v/>
      </c>
      <c r="X11">
        <f>HYPERLINK("https://klasma.github.io/Logging_0120/tillsyn/A 30154-2022 tillsynsbegäran.docx", "A 30154-2022")</f>
        <v/>
      </c>
      <c r="Y11">
        <f>HYPERLINK("https://klasma.github.io/Logging_0120/tillsynsmail/A 30154-2022 tillsynsbegäran mail.docx", "A 30154-2022")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45918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6412-2024</t>
        </is>
      </c>
      <c r="B13" s="1" t="n">
        <v>45338</v>
      </c>
      <c r="C13" s="1" t="n">
        <v>45918</v>
      </c>
      <c r="D13" t="inlineStr">
        <is>
          <t>STOCKHOLMS LÄN</t>
        </is>
      </c>
      <c r="E13" t="inlineStr">
        <is>
          <t>VÄRMDÖ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HYPERLINK("https://klasma.github.io/Logging_0120/artfynd/A 6412-2024 artfynd.xlsx", "A 6412-2024")</f>
        <v/>
      </c>
      <c r="T13">
        <f>HYPERLINK("https://klasma.github.io/Logging_0120/kartor/A 6412-2024 karta.png", "A 6412-2024")</f>
        <v/>
      </c>
      <c r="V13">
        <f>HYPERLINK("https://klasma.github.io/Logging_0120/klagomål/A 6412-2024 FSC-klagomål.docx", "A 6412-2024")</f>
        <v/>
      </c>
      <c r="W13">
        <f>HYPERLINK("https://klasma.github.io/Logging_0120/klagomålsmail/A 6412-2024 FSC-klagomål mail.docx", "A 6412-2024")</f>
        <v/>
      </c>
      <c r="X13">
        <f>HYPERLINK("https://klasma.github.io/Logging_0120/tillsyn/A 6412-2024 tillsynsbegäran.docx", "A 6412-2024")</f>
        <v/>
      </c>
      <c r="Y13">
        <f>HYPERLINK("https://klasma.github.io/Logging_0120/tillsynsmail/A 6412-2024 tillsynsbegäran mail.docx", "A 6412-2024")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45918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45918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45918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45918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45918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45918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45918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45918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45918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45918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45918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45918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45918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45918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45918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45918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45918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3057-2022</t>
        </is>
      </c>
      <c r="B31" s="1" t="n">
        <v>44582</v>
      </c>
      <c r="C31" s="1" t="n">
        <v>45918</v>
      </c>
      <c r="D31" t="inlineStr">
        <is>
          <t>STOCKHOLMS LÄN</t>
        </is>
      </c>
      <c r="E31" t="inlineStr">
        <is>
          <t>VÄRMDÖ</t>
        </is>
      </c>
      <c r="G31" t="n">
        <v>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45918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45918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2240-2023</t>
        </is>
      </c>
      <c r="B34" s="1" t="n">
        <v>44938</v>
      </c>
      <c r="C34" s="1" t="n">
        <v>45918</v>
      </c>
      <c r="D34" t="inlineStr">
        <is>
          <t>STOCKHOLMS LÄN</t>
        </is>
      </c>
      <c r="E34" t="inlineStr">
        <is>
          <t>VÄRMDÖ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45918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45918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45918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45918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14008-2021</t>
        </is>
      </c>
      <c r="B39" s="1" t="n">
        <v>44277</v>
      </c>
      <c r="C39" s="1" t="n">
        <v>45918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45918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72176-2021</t>
        </is>
      </c>
      <c r="B41" s="1" t="n">
        <v>44544</v>
      </c>
      <c r="C41" s="1" t="n">
        <v>45918</v>
      </c>
      <c r="D41" t="inlineStr">
        <is>
          <t>STOCKHOLMS LÄN</t>
        </is>
      </c>
      <c r="E41" t="inlineStr">
        <is>
          <t>VÄRMDÖ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45918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45918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45918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45918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32458-2023</t>
        </is>
      </c>
      <c r="B46" s="1" t="n">
        <v>45120</v>
      </c>
      <c r="C46" s="1" t="n">
        <v>45918</v>
      </c>
      <c r="D46" t="inlineStr">
        <is>
          <t>STOCKHOLMS LÄN</t>
        </is>
      </c>
      <c r="E46" t="inlineStr">
        <is>
          <t>VÄRMDÖ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36148-2023</t>
        </is>
      </c>
      <c r="B47" s="1" t="n">
        <v>45149</v>
      </c>
      <c r="C47" s="1" t="n">
        <v>45918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17623-2024</t>
        </is>
      </c>
      <c r="B48" s="1" t="n">
        <v>45417.83097222223</v>
      </c>
      <c r="C48" s="1" t="n">
        <v>45918</v>
      </c>
      <c r="D48" t="inlineStr">
        <is>
          <t>STOCKHOLMS LÄN</t>
        </is>
      </c>
      <c r="E48" t="inlineStr">
        <is>
          <t>VÄRMDÖ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45918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45918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33046-2022</t>
        </is>
      </c>
      <c r="B51" s="1" t="n">
        <v>44785</v>
      </c>
      <c r="C51" s="1" t="n">
        <v>45918</v>
      </c>
      <c r="D51" t="inlineStr">
        <is>
          <t>STOCKHOLMS LÄN</t>
        </is>
      </c>
      <c r="E51" t="inlineStr">
        <is>
          <t>VÄRMDÖ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45572-2021</t>
        </is>
      </c>
      <c r="B52" s="1" t="n">
        <v>44440</v>
      </c>
      <c r="C52" s="1" t="n">
        <v>45918</v>
      </c>
      <c r="D52" t="inlineStr">
        <is>
          <t>STOCKHOLMS LÄN</t>
        </is>
      </c>
      <c r="E52" t="inlineStr">
        <is>
          <t>VÄRMDÖ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17086-2025</t>
        </is>
      </c>
      <c r="B53" s="1" t="n">
        <v>45754</v>
      </c>
      <c r="C53" s="1" t="n">
        <v>45918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61048-2020</t>
        </is>
      </c>
      <c r="B54" s="1" t="n">
        <v>44153</v>
      </c>
      <c r="C54" s="1" t="n">
        <v>45918</v>
      </c>
      <c r="D54" t="inlineStr">
        <is>
          <t>STOCKHOLMS LÄN</t>
        </is>
      </c>
      <c r="E54" t="inlineStr">
        <is>
          <t>VÄRMDÖ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45918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23720-2023</t>
        </is>
      </c>
      <c r="B56" s="1" t="n">
        <v>45077.6678125</v>
      </c>
      <c r="C56" s="1" t="n">
        <v>45918</v>
      </c>
      <c r="D56" t="inlineStr">
        <is>
          <t>STOCKHOLMS LÄN</t>
        </is>
      </c>
      <c r="E56" t="inlineStr">
        <is>
          <t>VÄRMDÖ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32230-2025</t>
        </is>
      </c>
      <c r="B57" s="1" t="n">
        <v>45835.59810185185</v>
      </c>
      <c r="C57" s="1" t="n">
        <v>45918</v>
      </c>
      <c r="D57" t="inlineStr">
        <is>
          <t>STOCKHOLMS LÄN</t>
        </is>
      </c>
      <c r="E57" t="inlineStr">
        <is>
          <t>VÄRMDÖ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17624-2024</t>
        </is>
      </c>
      <c r="B58" s="1" t="n">
        <v>45417.84</v>
      </c>
      <c r="C58" s="1" t="n">
        <v>45918</v>
      </c>
      <c r="D58" t="inlineStr">
        <is>
          <t>STOCKHOLMS LÄN</t>
        </is>
      </c>
      <c r="E58" t="inlineStr">
        <is>
          <t>VÄRMDÖ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39082-2021</t>
        </is>
      </c>
      <c r="B59" s="1" t="n">
        <v>44412</v>
      </c>
      <c r="C59" s="1" t="n">
        <v>45918</v>
      </c>
      <c r="D59" t="inlineStr">
        <is>
          <t>STOCKHOLMS LÄN</t>
        </is>
      </c>
      <c r="E59" t="inlineStr">
        <is>
          <t>VÄRMDÖ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49568-2024</t>
        </is>
      </c>
      <c r="B60" s="1" t="n">
        <v>45596.49587962963</v>
      </c>
      <c r="C60" s="1" t="n">
        <v>45918</v>
      </c>
      <c r="D60" t="inlineStr">
        <is>
          <t>STOCKHOLMS LÄN</t>
        </is>
      </c>
      <c r="E60" t="inlineStr">
        <is>
          <t>VÄRMDÖ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28590-2024</t>
        </is>
      </c>
      <c r="B61" s="1" t="n">
        <v>45478.41633101852</v>
      </c>
      <c r="C61" s="1" t="n">
        <v>45918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2025-09-18T08:57:01Z</dcterms:created>
  <dcterms:modified xmlns:dcterms="http://purl.org/dc/terms/" xmlns:xsi="http://www.w3.org/2001/XMLSchema-instance" xsi:type="dcterms:W3CDTF">2025-09-18T08:57:01Z</dcterms:modified>
</cp:coreProperties>
</file>