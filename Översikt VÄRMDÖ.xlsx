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46248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46248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46248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46248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46248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46248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46248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46248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71315-2021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44539</v>
      </c>
      <c r="E10" s="1" t="n">
        <v>46248</v>
      </c>
      <c r="F10" t="inlineStr">
        <is>
          <t>STOCKHOLMS LÄN</t>
        </is>
      </c>
      <c r="G10" t="inlineStr">
        <is>
          <t>VÄRMDÖ</t>
        </is>
      </c>
      <c r="H10" t="inlineStr">
        <is>
          <t>Övriga Aktiebolag</t>
        </is>
      </c>
      <c r="I10" t="n">
        <v>5.3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Sårläka</t>
        </is>
      </c>
      <c r="W10">
        <f>HYPERLINK("https://klasma.github.io/Logging_0120/artfynd/A 71315-2021 artfynd.xlsx", "A 71315-2021")</f>
        <v/>
      </c>
      <c r="X10">
        <f>HYPERLINK("https://klasma.github.io/Logging_0120/kartor/A 71315-2021 karta.png", "A 71315-2021")</f>
        <v/>
      </c>
      <c r="Y10">
        <f>HYPERLINK("https://klasma.github.io/Logging_0120/kartor_geotiff/A 71315-2021 georefererad karta.tif", "A 71315-2021")</f>
        <v/>
      </c>
      <c r="AA10">
        <f>HYPERLINK("https://klasma.github.io/Logging_0120/klagomål/A 71315-2021 FSC-klagomål.docx", "A 71315-2021")</f>
        <v/>
      </c>
      <c r="AB10">
        <f>HYPERLINK("https://klasma.github.io/Logging_0120/klagomålsmail/A 71315-2021 FSC-klagomål mail.docx", "A 71315-2021")</f>
        <v/>
      </c>
      <c r="AC10">
        <f>HYPERLINK("https://klasma.github.io/Logging_0120/tillsyn/A 71315-2021 tillsynsbegäran.docx", "A 71315-2021")</f>
        <v/>
      </c>
      <c r="AD10">
        <f>HYPERLINK("https://klasma.github.io/Logging_0120/tillsynsmail/A 71315-2021 tillsynsbegäran mail.docx", "A 71315-2021")</f>
        <v/>
      </c>
    </row>
    <row r="11" ht="15" customHeight="1">
      <c r="A11" t="inlineStr">
        <is>
          <t>A 72108-2021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44544</v>
      </c>
      <c r="E11" s="1" t="n">
        <v>46248</v>
      </c>
      <c r="F11" t="inlineStr">
        <is>
          <t>STOCKHOLMS LÄN</t>
        </is>
      </c>
      <c r="G11" t="inlineStr">
        <is>
          <t>VÄRMDÖ</t>
        </is>
      </c>
      <c r="I11" t="n">
        <v>1.6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Jungfrulin</t>
        </is>
      </c>
      <c r="W11">
        <f>HYPERLINK("https://klasma.github.io/Logging_0120/artfynd/A 72108-2021 artfynd.xlsx", "A 72108-2021")</f>
        <v/>
      </c>
      <c r="X11">
        <f>HYPERLINK("https://klasma.github.io/Logging_0120/kartor/A 72108-2021 karta.png", "A 72108-2021")</f>
        <v/>
      </c>
      <c r="Y11">
        <f>HYPERLINK("https://klasma.github.io/Logging_0120/kartor_geotiff/A 72108-2021 georefererad karta.tif", "A 72108-2021")</f>
        <v/>
      </c>
      <c r="AA11">
        <f>HYPERLINK("https://klasma.github.io/Logging_0120/klagomål/A 72108-2021 FSC-klagomål.docx", "A 72108-2021")</f>
        <v/>
      </c>
      <c r="AB11">
        <f>HYPERLINK("https://klasma.github.io/Logging_0120/klagomålsmail/A 72108-2021 FSC-klagomål mail.docx", "A 72108-2021")</f>
        <v/>
      </c>
      <c r="AC11">
        <f>HYPERLINK("https://klasma.github.io/Logging_0120/tillsyn/A 72108-2021 tillsynsbegäran.docx", "A 72108-2021")</f>
        <v/>
      </c>
      <c r="AD11">
        <f>HYPERLINK("https://klasma.github.io/Logging_0120/tillsynsmail/A 72108-2021 tillsynsbegäran mail.docx", "A 72108-2021")</f>
        <v/>
      </c>
    </row>
    <row r="12" ht="15" customHeight="1">
      <c r="A12" t="inlineStr">
        <is>
          <t>A 33046-2022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44785</v>
      </c>
      <c r="E12" s="1" t="n">
        <v>46248</v>
      </c>
      <c r="F12" t="inlineStr">
        <is>
          <t>STOCKHOLMS LÄN</t>
        </is>
      </c>
      <c r="G12" t="inlineStr">
        <is>
          <t>VÄRMDÖ</t>
        </is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Spillkråka</t>
        </is>
      </c>
      <c r="W12">
        <f>HYPERLINK("https://klasma.github.io/Logging_0120/artfynd/A 33046-2022 artfynd.xlsx", "A 33046-2022")</f>
        <v/>
      </c>
      <c r="X12">
        <f>HYPERLINK("https://klasma.github.io/Logging_0120/kartor/A 33046-2022 karta.png", "A 33046-2022")</f>
        <v/>
      </c>
      <c r="Y12">
        <f>HYPERLINK("https://klasma.github.io/Logging_0120/kartor_geotiff/A 33046-2022 georefererad karta.tif", "A 33046-2022")</f>
        <v/>
      </c>
      <c r="AA12">
        <f>HYPERLINK("https://klasma.github.io/Logging_0120/klagomål/A 33046-2022 FSC-klagomål.docx", "A 33046-2022")</f>
        <v/>
      </c>
      <c r="AB12">
        <f>HYPERLINK("https://klasma.github.io/Logging_0120/klagomålsmail/A 33046-2022 FSC-klagomål mail.docx", "A 33046-2022")</f>
        <v/>
      </c>
      <c r="AC12">
        <f>HYPERLINK("https://klasma.github.io/Logging_0120/tillsyn/A 33046-2022 tillsynsbegäran.docx", "A 33046-2022")</f>
        <v/>
      </c>
      <c r="AD12">
        <f>HYPERLINK("https://klasma.github.io/Logging_0120/tillsynsmail/A 33046-2022 tillsynsbegäran mail.docx", "A 33046-2022")</f>
        <v/>
      </c>
      <c r="AE12">
        <f>HYPERLINK("https://klasma.github.io/Logging_0120/fåglar/A 33046-2022 prioriterade fågelarter.docx", "A 33046-2022")</f>
        <v/>
      </c>
    </row>
    <row r="13" ht="15" customHeight="1">
      <c r="A13" t="inlineStr">
        <is>
          <t>A 20373-2025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45775</v>
      </c>
      <c r="E13" s="1" t="n">
        <v>46248</v>
      </c>
      <c r="F13" t="inlineStr">
        <is>
          <t>STOCKHOLMS LÄN</t>
        </is>
      </c>
      <c r="G13" t="inlineStr">
        <is>
          <t>VÄRMDÖ</t>
        </is>
      </c>
      <c r="I13" t="n">
        <v>0.5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Igelkott</t>
        </is>
      </c>
      <c r="W13">
        <f>HYPERLINK("https://klasma.github.io/Logging_0120/artfynd/A 20373-2025 artfynd.xlsx", "A 20373-2025")</f>
        <v/>
      </c>
      <c r="X13">
        <f>HYPERLINK("https://klasma.github.io/Logging_0120/kartor/A 20373-2025 karta.png", "A 20373-2025")</f>
        <v/>
      </c>
      <c r="Y13">
        <f>HYPERLINK("https://klasma.github.io/Logging_0120/kartor_geotiff/A 20373-2025 georefererad karta.tif", "A 20373-2025")</f>
        <v/>
      </c>
      <c r="AA13">
        <f>HYPERLINK("https://klasma.github.io/Logging_0120/klagomål/A 20373-2025 FSC-klagomål.docx", "A 20373-2025")</f>
        <v/>
      </c>
      <c r="AB13">
        <f>HYPERLINK("https://klasma.github.io/Logging_0120/klagomålsmail/A 20373-2025 FSC-klagomål mail.docx", "A 20373-2025")</f>
        <v/>
      </c>
      <c r="AC13">
        <f>HYPERLINK("https://klasma.github.io/Logging_0120/tillsyn/A 20373-2025 tillsynsbegäran.docx", "A 20373-2025")</f>
        <v/>
      </c>
      <c r="AD13">
        <f>HYPERLINK("https://klasma.github.io/Logging_0120/tillsynsmail/A 20373-2025 tillsynsbegäran mail.docx", "A 20373-2025")</f>
        <v/>
      </c>
    </row>
    <row r="14" ht="15" customHeight="1">
      <c r="A14" t="inlineStr">
        <is>
          <t>A 54056-2022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44876</v>
      </c>
      <c r="E14" s="1" t="n">
        <v>46248</v>
      </c>
      <c r="F14" t="inlineStr">
        <is>
          <t>STOCKHOLMS LÄN</t>
        </is>
      </c>
      <c r="G14" t="inlineStr">
        <is>
          <t>VÄRMDÖ</t>
        </is>
      </c>
      <c r="H14" t="inlineStr">
        <is>
          <t>Kommuner</t>
        </is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Tallticka</t>
        </is>
      </c>
      <c r="W14">
        <f>HYPERLINK("https://klasma.github.io/Logging_0120/artfynd/A 54056-2022 artfynd.xlsx", "A 54056-2022")</f>
        <v/>
      </c>
      <c r="X14">
        <f>HYPERLINK("https://klasma.github.io/Logging_0120/kartor/A 54056-2022 karta.png", "A 54056-2022")</f>
        <v/>
      </c>
      <c r="Y14">
        <f>HYPERLINK("https://klasma.github.io/Logging_0120/kartor_geotiff/A 54056-2022 georefererad karta.tif", "A 54056-2022")</f>
        <v/>
      </c>
      <c r="AA14">
        <f>HYPERLINK("https://klasma.github.io/Logging_0120/klagomål/A 54056-2022 FSC-klagomål.docx", "A 54056-2022")</f>
        <v/>
      </c>
      <c r="AB14">
        <f>HYPERLINK("https://klasma.github.io/Logging_0120/klagomålsmail/A 54056-2022 FSC-klagomål mail.docx", "A 54056-2022")</f>
        <v/>
      </c>
      <c r="AC14">
        <f>HYPERLINK("https://klasma.github.io/Logging_0120/tillsyn/A 54056-2022 tillsynsbegäran.docx", "A 54056-2022")</f>
        <v/>
      </c>
      <c r="AD14">
        <f>HYPERLINK("https://klasma.github.io/Logging_0120/tillsynsmail/A 54056-2022 tillsynsbegäran mail.docx", "A 54056-2022")</f>
        <v/>
      </c>
    </row>
    <row r="15" ht="15" customHeight="1">
      <c r="A15" t="inlineStr">
        <is>
          <t>A 30154-2022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44757</v>
      </c>
      <c r="E15" s="1" t="n">
        <v>46248</v>
      </c>
      <c r="F15" t="inlineStr">
        <is>
          <t>STOCKHOLMS LÄN</t>
        </is>
      </c>
      <c r="G15" t="inlineStr">
        <is>
          <t>VÄRMDÖ</t>
        </is>
      </c>
      <c r="I15" t="n">
        <v>3.1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Lunglav</t>
        </is>
      </c>
      <c r="W15">
        <f>HYPERLINK("https://klasma.github.io/Logging_0120/artfynd/A 30154-2022 artfynd.xlsx", "A 30154-2022")</f>
        <v/>
      </c>
      <c r="X15">
        <f>HYPERLINK("https://klasma.github.io/Logging_0120/kartor/A 30154-2022 karta.png", "A 30154-2022")</f>
        <v/>
      </c>
      <c r="Y15">
        <f>HYPERLINK("https://klasma.github.io/Logging_0120/kartor_geotiff/A 30154-2022 georefererad karta.tif", "A 30154-2022")</f>
        <v/>
      </c>
      <c r="AA15">
        <f>HYPERLINK("https://klasma.github.io/Logging_0120/klagomål/A 30154-2022 FSC-klagomål.docx", "A 30154-2022")</f>
        <v/>
      </c>
      <c r="AB15">
        <f>HYPERLINK("https://klasma.github.io/Logging_0120/klagomålsmail/A 30154-2022 FSC-klagomål mail.docx", "A 30154-2022")</f>
        <v/>
      </c>
      <c r="AC15">
        <f>HYPERLINK("https://klasma.github.io/Logging_0120/tillsyn/A 30154-2022 tillsynsbegäran.docx", "A 30154-2022")</f>
        <v/>
      </c>
      <c r="AD15">
        <f>HYPERLINK("https://klasma.github.io/Logging_0120/tillsynsmail/A 30154-2022 tillsynsbegäran mail.docx", "A 30154-2022")</f>
        <v/>
      </c>
    </row>
    <row r="16" ht="15" customHeight="1">
      <c r="A16" t="inlineStr">
        <is>
          <t>A 31593-2025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45833</v>
      </c>
      <c r="E16" s="1" t="n">
        <v>46248</v>
      </c>
      <c r="F16" t="inlineStr">
        <is>
          <t>STOCKHOLMS LÄN</t>
        </is>
      </c>
      <c r="G16" t="inlineStr">
        <is>
          <t>VÄRMDÖ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Tallticka</t>
        </is>
      </c>
      <c r="W16">
        <f>HYPERLINK("https://klasma.github.io/Logging_0120/artfynd/A 31593-2025 artfynd.xlsx", "A 31593-2025")</f>
        <v/>
      </c>
      <c r="X16">
        <f>HYPERLINK("https://klasma.github.io/Logging_0120/kartor/A 31593-2025 karta.png", "A 31593-2025")</f>
        <v/>
      </c>
      <c r="Y16">
        <f>HYPERLINK("https://klasma.github.io/Logging_0120/kartor_geotiff/A 31593-2025 georefererad karta.tif", "A 31593-2025")</f>
        <v/>
      </c>
      <c r="AA16">
        <f>HYPERLINK("https://klasma.github.io/Logging_0120/klagomål/A 31593-2025 FSC-klagomål.docx", "A 31593-2025")</f>
        <v/>
      </c>
      <c r="AB16">
        <f>HYPERLINK("https://klasma.github.io/Logging_0120/klagomålsmail/A 31593-2025 FSC-klagomål mail.docx", "A 31593-2025")</f>
        <v/>
      </c>
      <c r="AC16">
        <f>HYPERLINK("https://klasma.github.io/Logging_0120/tillsyn/A 31593-2025 tillsynsbegäran.docx", "A 31593-2025")</f>
        <v/>
      </c>
      <c r="AD16">
        <f>HYPERLINK("https://klasma.github.io/Logging_0120/tillsynsmail/A 31593-2025 tillsynsbegäran mail.docx", "A 31593-2025")</f>
        <v/>
      </c>
    </row>
    <row r="17" ht="15" customHeight="1">
      <c r="A17" t="inlineStr">
        <is>
          <t>A 28354-2026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46195</v>
      </c>
      <c r="E17" s="1" t="n">
        <v>46248</v>
      </c>
      <c r="F17" t="inlineStr">
        <is>
          <t>STOCKHOLMS LÄN</t>
        </is>
      </c>
      <c r="G17" t="inlineStr">
        <is>
          <t>VÄRMDÖ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Tallticka</t>
        </is>
      </c>
      <c r="W17">
        <f>HYPERLINK("https://klasma.github.io/Logging_0120/artfynd/A 28354-2026 artfynd.xlsx", "A 28354-2026")</f>
        <v/>
      </c>
      <c r="X17">
        <f>HYPERLINK("https://klasma.github.io/Logging_0120/kartor/A 28354-2026 karta.png", "A 28354-2026")</f>
        <v/>
      </c>
      <c r="Y17">
        <f>HYPERLINK("https://klasma.github.io/Logging_0120/kartor_geotiff/A 28354-2026 georefererad karta.tif", "A 28354-2026")</f>
        <v/>
      </c>
      <c r="AA17">
        <f>HYPERLINK("https://klasma.github.io/Logging_0120/klagomål/A 28354-2026 FSC-klagomål.docx", "A 28354-2026")</f>
        <v/>
      </c>
      <c r="AB17">
        <f>HYPERLINK("https://klasma.github.io/Logging_0120/klagomålsmail/A 28354-2026 FSC-klagomål mail.docx", "A 28354-2026")</f>
        <v/>
      </c>
      <c r="AC17">
        <f>HYPERLINK("https://klasma.github.io/Logging_0120/tillsyn/A 28354-2026 tillsynsbegäran.docx", "A 28354-2026")</f>
        <v/>
      </c>
      <c r="AD17">
        <f>HYPERLINK("https://klasma.github.io/Logging_0120/tillsynsmail/A 28354-2026 tillsynsbegäran mail.docx", "A 28354-2026")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46248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49123-2021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44453</v>
      </c>
      <c r="E19" s="1" t="n">
        <v>46248</v>
      </c>
      <c r="F19" t="inlineStr">
        <is>
          <t>STOCKHOLMS LÄN</t>
        </is>
      </c>
      <c r="G19" t="inlineStr">
        <is>
          <t>VÄRMDÖ</t>
        </is>
      </c>
      <c r="I19" t="n">
        <v>3.2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46248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9.1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46248</v>
      </c>
      <c r="F21" t="inlineStr">
        <is>
          <t>STOCKHOLMS LÄN</t>
        </is>
      </c>
      <c r="G21" t="inlineStr">
        <is>
          <t>VÄRMDÖ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72097-2021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44544</v>
      </c>
      <c r="E22" s="1" t="n">
        <v>46248</v>
      </c>
      <c r="F22" t="inlineStr">
        <is>
          <t>STOCKHOLMS LÄN</t>
        </is>
      </c>
      <c r="G22" t="inlineStr">
        <is>
          <t>VÄRMDÖ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71317-2021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44539</v>
      </c>
      <c r="E23" s="1" t="n">
        <v>46248</v>
      </c>
      <c r="F23" t="inlineStr">
        <is>
          <t>STOCKHOLMS LÄN</t>
        </is>
      </c>
      <c r="G23" t="inlineStr">
        <is>
          <t>VÄRMDÖ</t>
        </is>
      </c>
      <c r="H23" t="inlineStr">
        <is>
          <t>Övriga Aktiebolag</t>
        </is>
      </c>
      <c r="I23" t="n">
        <v>2.7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3057-2022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44582</v>
      </c>
      <c r="E24" s="1" t="n">
        <v>46248</v>
      </c>
      <c r="F24" t="inlineStr">
        <is>
          <t>STOCKHOLMS LÄN</t>
        </is>
      </c>
      <c r="G24" t="inlineStr">
        <is>
          <t>VÄRMDÖ</t>
        </is>
      </c>
      <c r="I24" t="n">
        <v>7.4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8756-2023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44972</v>
      </c>
      <c r="E25" s="1" t="n">
        <v>46248</v>
      </c>
      <c r="F25" t="inlineStr">
        <is>
          <t>STOCKHOLMS LÄN</t>
        </is>
      </c>
      <c r="G25" t="inlineStr">
        <is>
          <t>VÄRMDÖ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9966-2024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45363</v>
      </c>
      <c r="E26" s="1" t="n">
        <v>46248</v>
      </c>
      <c r="F26" t="inlineStr">
        <is>
          <t>STOCKHOLMS LÄN</t>
        </is>
      </c>
      <c r="G26" t="inlineStr">
        <is>
          <t>VÄRMDÖ</t>
        </is>
      </c>
      <c r="I26" t="n">
        <v>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30002-2023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45109</v>
      </c>
      <c r="E27" s="1" t="n">
        <v>46248</v>
      </c>
      <c r="F27" t="inlineStr">
        <is>
          <t>STOCKHOLMS LÄN</t>
        </is>
      </c>
      <c r="G27" t="inlineStr">
        <is>
          <t>VÄRMDÖ</t>
        </is>
      </c>
      <c r="I27" t="n">
        <v>4.2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17086-2025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45754</v>
      </c>
      <c r="E28" s="1" t="n">
        <v>46248</v>
      </c>
      <c r="F28" t="inlineStr">
        <is>
          <t>STOCKHOLMS LÄN</t>
        </is>
      </c>
      <c r="G28" t="inlineStr">
        <is>
          <t>VÄRMDÖ</t>
        </is>
      </c>
      <c r="H28" t="inlineStr">
        <is>
          <t>Övriga statliga verk och myndigheter</t>
        </is>
      </c>
      <c r="I28" t="n">
        <v>4.3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33958-2023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46248</v>
      </c>
      <c r="F29" t="inlineStr">
        <is>
          <t>STOCKHOLMS LÄN</t>
        </is>
      </c>
      <c r="G29" t="inlineStr">
        <is>
          <t>VÄRMDÖ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17624-2024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45417</v>
      </c>
      <c r="E30" s="1" t="n">
        <v>46248</v>
      </c>
      <c r="F30" t="inlineStr">
        <is>
          <t>STOCKHOLMS LÄN</t>
        </is>
      </c>
      <c r="G30" t="inlineStr">
        <is>
          <t>VÄRMDÖ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32286-2023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45120</v>
      </c>
      <c r="E31" s="1" t="n">
        <v>46248</v>
      </c>
      <c r="F31" t="inlineStr">
        <is>
          <t>STOCKHOLMS LÄN</t>
        </is>
      </c>
      <c r="G31" t="inlineStr">
        <is>
          <t>VÄRMDÖ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17623-2024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45417</v>
      </c>
      <c r="E32" s="1" t="n">
        <v>46248</v>
      </c>
      <c r="F32" t="inlineStr">
        <is>
          <t>STOCKHOLMS LÄN</t>
        </is>
      </c>
      <c r="G32" t="inlineStr">
        <is>
          <t>VÄRMDÖ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33061-2024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45517</v>
      </c>
      <c r="E33" s="1" t="n">
        <v>46248</v>
      </c>
      <c r="F33" t="inlineStr">
        <is>
          <t>STOCKHOLMS LÄN</t>
        </is>
      </c>
      <c r="G33" t="inlineStr">
        <is>
          <t>VÄRMDÖ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49568-2024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45596</v>
      </c>
      <c r="E34" s="1" t="n">
        <v>46248</v>
      </c>
      <c r="F34" t="inlineStr">
        <is>
          <t>STOCKHOLMS LÄN</t>
        </is>
      </c>
      <c r="G34" t="inlineStr">
        <is>
          <t>VÄRMDÖ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28590-2024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45478</v>
      </c>
      <c r="E35" s="1" t="n">
        <v>46248</v>
      </c>
      <c r="F35" t="inlineStr">
        <is>
          <t>STOCKHOLMS LÄN</t>
        </is>
      </c>
      <c r="G35" t="inlineStr">
        <is>
          <t>VÄRMDÖ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20053-2023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45054</v>
      </c>
      <c r="E36" s="1" t="n">
        <v>46248</v>
      </c>
      <c r="F36" t="inlineStr">
        <is>
          <t>STOCKHOLMS LÄN</t>
        </is>
      </c>
      <c r="G36" t="inlineStr">
        <is>
          <t>VÄRMDÖ</t>
        </is>
      </c>
      <c r="H36" t="inlineStr">
        <is>
          <t>Övriga Aktiebolag</t>
        </is>
      </c>
      <c r="I36" t="n">
        <v>4.1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2240-2023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44938</v>
      </c>
      <c r="E37" s="1" t="n">
        <v>46248</v>
      </c>
      <c r="F37" t="inlineStr">
        <is>
          <t>STOCKHOLMS LÄN</t>
        </is>
      </c>
      <c r="G37" t="inlineStr">
        <is>
          <t>VÄRMDÖ</t>
        </is>
      </c>
      <c r="I37" t="n">
        <v>3.9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32458-2023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45120</v>
      </c>
      <c r="E38" s="1" t="n">
        <v>46248</v>
      </c>
      <c r="F38" t="inlineStr">
        <is>
          <t>STOCKHOLMS LÄN</t>
        </is>
      </c>
      <c r="G38" t="inlineStr">
        <is>
          <t>VÄRMDÖ</t>
        </is>
      </c>
      <c r="I38" t="n">
        <v>12.5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36148-2023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45149</v>
      </c>
      <c r="E39" s="1" t="n">
        <v>46248</v>
      </c>
      <c r="F39" t="inlineStr">
        <is>
          <t>STOCKHOLMS LÄN</t>
        </is>
      </c>
      <c r="G39" t="inlineStr">
        <is>
          <t>VÄRMDÖ</t>
        </is>
      </c>
      <c r="H39" t="inlineStr">
        <is>
          <t>Övriga statliga verk och myndigheter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114-2023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44918</v>
      </c>
      <c r="E40" s="1" t="n">
        <v>46248</v>
      </c>
      <c r="F40" t="inlineStr">
        <is>
          <t>STOCKHOLMS LÄN</t>
        </is>
      </c>
      <c r="G40" t="inlineStr">
        <is>
          <t>VÄRMDÖ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32230-2025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45835</v>
      </c>
      <c r="E41" s="1" t="n">
        <v>46248</v>
      </c>
      <c r="F41" t="inlineStr">
        <is>
          <t>STOCKHOLMS LÄN</t>
        </is>
      </c>
      <c r="G41" t="inlineStr">
        <is>
          <t>VÄRMDÖ</t>
        </is>
      </c>
      <c r="I41" t="n">
        <v>7.9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44587</v>
      </c>
      <c r="E42" s="1" t="n">
        <v>46248</v>
      </c>
      <c r="F42" t="inlineStr">
        <is>
          <t>STOCKHOLMS LÄN</t>
        </is>
      </c>
      <c r="G42" t="inlineStr">
        <is>
          <t>VÄRMDÖ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24798-2026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46171</v>
      </c>
      <c r="E43" s="1" t="n">
        <v>46248</v>
      </c>
      <c r="F43" t="inlineStr">
        <is>
          <t>STOCKHOLMS LÄN</t>
        </is>
      </c>
      <c r="G43" t="inlineStr">
        <is>
          <t>VÄRMDÖ</t>
        </is>
      </c>
      <c r="I43" t="n">
        <v>8.1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24622-2026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46171</v>
      </c>
      <c r="E44" s="1" t="n">
        <v>46248</v>
      </c>
      <c r="F44" t="inlineStr">
        <is>
          <t>STOCKHOLMS LÄN</t>
        </is>
      </c>
      <c r="G44" t="inlineStr">
        <is>
          <t>VÄRMDÖ</t>
        </is>
      </c>
      <c r="I44" t="n">
        <v>6.8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2392-2024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45468</v>
      </c>
      <c r="E45" s="1" t="n">
        <v>46248</v>
      </c>
      <c r="F45" t="inlineStr">
        <is>
          <t>STOCKHOLMS LÄN</t>
        </is>
      </c>
      <c r="G45" t="inlineStr">
        <is>
          <t>VÄRMDÖ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378-2025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45695</v>
      </c>
      <c r="E46" s="1" t="n">
        <v>46248</v>
      </c>
      <c r="F46" t="inlineStr">
        <is>
          <t>STOCKHOLMS LÄN</t>
        </is>
      </c>
      <c r="G46" t="inlineStr">
        <is>
          <t>VÄRMDÖ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2391-2024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46248</v>
      </c>
      <c r="F47" t="inlineStr">
        <is>
          <t>STOCKHOLMS LÄN</t>
        </is>
      </c>
      <c r="G47" t="inlineStr">
        <is>
          <t>VÄRMDÖ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2699-2024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45482</v>
      </c>
      <c r="E48" s="1" t="n">
        <v>46248</v>
      </c>
      <c r="F48" t="inlineStr">
        <is>
          <t>STOCKHOLMS LÄN</t>
        </is>
      </c>
      <c r="G48" t="inlineStr">
        <is>
          <t>VÄRMDÖ</t>
        </is>
      </c>
      <c r="I48" t="n">
        <v>3.2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377-2025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46248</v>
      </c>
      <c r="F49" t="inlineStr">
        <is>
          <t>STOCKHOLMS LÄN</t>
        </is>
      </c>
      <c r="G49" t="inlineStr">
        <is>
          <t>VÄRMDÖ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373-2025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45695</v>
      </c>
      <c r="E50" s="1" t="n">
        <v>46248</v>
      </c>
      <c r="F50" t="inlineStr">
        <is>
          <t>STOCKHOLMS LÄN</t>
        </is>
      </c>
      <c r="G50" t="inlineStr">
        <is>
          <t>VÄRMDÖ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370-2025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46248</v>
      </c>
      <c r="F51" t="inlineStr">
        <is>
          <t>STOCKHOLMS LÄN</t>
        </is>
      </c>
      <c r="G51" t="inlineStr">
        <is>
          <t>VÄRMDÖ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2698-2024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45482</v>
      </c>
      <c r="E52" s="1" t="n">
        <v>46248</v>
      </c>
      <c r="F52" t="inlineStr">
        <is>
          <t>STOCKHOLMS LÄN</t>
        </is>
      </c>
      <c r="G52" t="inlineStr">
        <is>
          <t>VÄRMDÖ</t>
        </is>
      </c>
      <c r="I52" t="n">
        <v>6.5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374-2025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46248</v>
      </c>
      <c r="F53" t="inlineStr">
        <is>
          <t>STOCKHOLMS LÄN</t>
        </is>
      </c>
      <c r="G53" t="inlineStr">
        <is>
          <t>VÄRMDÖ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>
      <c r="A54" t="inlineStr">
        <is>
          <t>S 2043-2026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46219</v>
      </c>
      <c r="E54" s="1" t="n">
        <v>46248</v>
      </c>
      <c r="F54" t="inlineStr">
        <is>
          <t>STOCKHOLMS LÄN</t>
        </is>
      </c>
      <c r="G54" t="inlineStr">
        <is>
          <t>VÄRMDÖ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2026-08-14T01:51:44Z</dcterms:created>
  <dcterms:modified xmlns:dcterms="http://purl.org/dc/terms/" xmlns:xsi="http://www.w3.org/2001/XMLSchema-instance" xsi:type="dcterms:W3CDTF">2026-08-14T01:51:44Z</dcterms:modified>
</cp:coreProperties>
</file>