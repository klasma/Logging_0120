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46163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46163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46163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46163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46163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46163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46163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46163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31593-2025</t>
        </is>
      </c>
      <c r="B10" s="1" t="n">
        <v>45833.70085648148</v>
      </c>
      <c r="C10" s="1" t="n">
        <v>46163</v>
      </c>
      <c r="D10" t="inlineStr">
        <is>
          <t>STOCKHOLMS LÄN</t>
        </is>
      </c>
      <c r="E10" t="inlineStr">
        <is>
          <t>VÄRMDÖ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31593-2025 artfynd.xlsx", "A 31593-2025")</f>
        <v/>
      </c>
      <c r="T10">
        <f>HYPERLINK("https://klasma.github.io/Logging_0120/kartor/A 31593-2025 karta.png", "A 31593-2025")</f>
        <v/>
      </c>
      <c r="V10">
        <f>HYPERLINK("https://klasma.github.io/Logging_0120/klagomål/A 31593-2025 FSC-klagomål.docx", "A 31593-2025")</f>
        <v/>
      </c>
      <c r="W10">
        <f>HYPERLINK("https://klasma.github.io/Logging_0120/klagomålsmail/A 31593-2025 FSC-klagomål mail.docx", "A 31593-2025")</f>
        <v/>
      </c>
      <c r="X10">
        <f>HYPERLINK("https://klasma.github.io/Logging_0120/tillsyn/A 31593-2025 tillsynsbegäran.docx", "A 31593-2025")</f>
        <v/>
      </c>
      <c r="Y10">
        <f>HYPERLINK("https://klasma.github.io/Logging_0120/tillsynsmail/A 31593-2025 tillsynsbegäran mail.docx", "A 31593-2025")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46163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46163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46163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6412-2024</t>
        </is>
      </c>
      <c r="B14" s="1" t="n">
        <v>45338</v>
      </c>
      <c r="C14" s="1" t="n">
        <v>46163</v>
      </c>
      <c r="D14" t="inlineStr">
        <is>
          <t>STOCKHOLMS LÄN</t>
        </is>
      </c>
      <c r="E14" t="inlineStr">
        <is>
          <t>VÄRMDÖ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HYPERLINK("https://klasma.github.io/Logging_0120/artfynd/A 6412-2024 artfynd.xlsx", "A 6412-2024")</f>
        <v/>
      </c>
      <c r="T14">
        <f>HYPERLINK("https://klasma.github.io/Logging_0120/kartor/A 6412-2024 karta.png", "A 6412-2024")</f>
        <v/>
      </c>
      <c r="V14">
        <f>HYPERLINK("https://klasma.github.io/Logging_0120/klagomål/A 6412-2024 FSC-klagomål.docx", "A 6412-2024")</f>
        <v/>
      </c>
      <c r="W14">
        <f>HYPERLINK("https://klasma.github.io/Logging_0120/klagomålsmail/A 6412-2024 FSC-klagomål mail.docx", "A 6412-2024")</f>
        <v/>
      </c>
      <c r="X14">
        <f>HYPERLINK("https://klasma.github.io/Logging_0120/tillsyn/A 6412-2024 tillsynsbegäran.docx", "A 6412-2024")</f>
        <v/>
      </c>
      <c r="Y14">
        <f>HYPERLINK("https://klasma.github.io/Logging_0120/tillsynsmail/A 6412-2024 tillsynsbegäran mail.docx", "A 6412-2024")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46163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1244-2022</t>
        </is>
      </c>
      <c r="B16" s="1" t="n">
        <v>44572</v>
      </c>
      <c r="C16" s="1" t="n">
        <v>46163</v>
      </c>
      <c r="D16" t="inlineStr">
        <is>
          <t>STOCKHOLMS LÄN</t>
        </is>
      </c>
      <c r="E16" t="inlineStr">
        <is>
          <t>VÄRMDÖ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T16">
        <f>HYPERLINK("https://klasma.github.io/Logging_0120/kartor/A 1244-2022 karta.png", "A 1244-2022")</f>
        <v/>
      </c>
      <c r="V16">
        <f>HYPERLINK("https://klasma.github.io/Logging_0120/klagomål/A 1244-2022 FSC-klagomål.docx", "A 1244-2022")</f>
        <v/>
      </c>
      <c r="W16">
        <f>HYPERLINK("https://klasma.github.io/Logging_0120/klagomålsmail/A 1244-2022 FSC-klagomål mail.docx", "A 1244-2022")</f>
        <v/>
      </c>
      <c r="X16">
        <f>HYPERLINK("https://klasma.github.io/Logging_0120/tillsyn/A 1244-2022 tillsynsbegäran.docx", "A 1244-2022")</f>
        <v/>
      </c>
      <c r="Y16">
        <f>HYPERLINK("https://klasma.github.io/Logging_0120/tillsynsmail/A 1244-2022 tillsynsbegäran mail.docx", "A 1244-2022")</f>
        <v/>
      </c>
      <c r="Z16">
        <f>HYPERLINK("https://klasma.github.io/Logging_0120/fåglar/A 1244-2022 prioriterade fågelarter.docx", "A 1244-2022")</f>
        <v/>
      </c>
    </row>
    <row r="17" ht="15" customHeight="1">
      <c r="A17" t="inlineStr">
        <is>
          <t>A 72108-2021</t>
        </is>
      </c>
      <c r="B17" s="1" t="n">
        <v>44544</v>
      </c>
      <c r="C17" s="1" t="n">
        <v>46163</v>
      </c>
      <c r="D17" t="inlineStr">
        <is>
          <t>STOCKHOLMS LÄN</t>
        </is>
      </c>
      <c r="E17" t="inlineStr">
        <is>
          <t>VÄRMDÖ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44539.68760416667</v>
      </c>
      <c r="C18" s="1" t="n">
        <v>46163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39073-2021</t>
        </is>
      </c>
      <c r="B19" s="1" t="n">
        <v>44412.5749537037</v>
      </c>
      <c r="C19" s="1" t="n">
        <v>46163</v>
      </c>
      <c r="D19" t="inlineStr">
        <is>
          <t>STOCKHOLMS LÄN</t>
        </is>
      </c>
      <c r="E19" t="inlineStr">
        <is>
          <t>VÄRMDÖ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71318-2021</t>
        </is>
      </c>
      <c r="B20" s="1" t="n">
        <v>44539.6910300926</v>
      </c>
      <c r="C20" s="1" t="n">
        <v>46163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20641-2022</t>
        </is>
      </c>
      <c r="B21" s="1" t="n">
        <v>44700</v>
      </c>
      <c r="C21" s="1" t="n">
        <v>46163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72097-2021</t>
        </is>
      </c>
      <c r="B22" s="1" t="n">
        <v>44544</v>
      </c>
      <c r="C22" s="1" t="n">
        <v>46163</v>
      </c>
      <c r="D22" t="inlineStr">
        <is>
          <t>STOCKHOLMS LÄN</t>
        </is>
      </c>
      <c r="E22" t="inlineStr">
        <is>
          <t>VÄRMDÖ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3057-2022</t>
        </is>
      </c>
      <c r="B23" s="1" t="n">
        <v>44582</v>
      </c>
      <c r="C23" s="1" t="n">
        <v>46163</v>
      </c>
      <c r="D23" t="inlineStr">
        <is>
          <t>STOCKHOLMS LÄN</t>
        </is>
      </c>
      <c r="E23" t="inlineStr">
        <is>
          <t>VÄRMDÖ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72176-2021</t>
        </is>
      </c>
      <c r="B24" s="1" t="n">
        <v>44544</v>
      </c>
      <c r="C24" s="1" t="n">
        <v>46163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20373-2025</t>
        </is>
      </c>
      <c r="B25" s="1" t="n">
        <v>45775.4216087963</v>
      </c>
      <c r="C25" s="1" t="n">
        <v>46163</v>
      </c>
      <c r="D25" t="inlineStr">
        <is>
          <t>STOCKHOLMS LÄN</t>
        </is>
      </c>
      <c r="E25" t="inlineStr">
        <is>
          <t>VÄRMDÖ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9966-2024</t>
        </is>
      </c>
      <c r="B26" s="1" t="n">
        <v>45363.65841435185</v>
      </c>
      <c r="C26" s="1" t="n">
        <v>46163</v>
      </c>
      <c r="D26" t="inlineStr">
        <is>
          <t>STOCKHOLMS LÄN</t>
        </is>
      </c>
      <c r="E26" t="inlineStr">
        <is>
          <t>VÄRMDÖ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32286-2023</t>
        </is>
      </c>
      <c r="B27" s="1" t="n">
        <v>45120</v>
      </c>
      <c r="C27" s="1" t="n">
        <v>46163</v>
      </c>
      <c r="D27" t="inlineStr">
        <is>
          <t>STOCKHOLMS LÄN</t>
        </is>
      </c>
      <c r="E27" t="inlineStr">
        <is>
          <t>VÄRMDÖ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32458-2023</t>
        </is>
      </c>
      <c r="B28" s="1" t="n">
        <v>45120</v>
      </c>
      <c r="C28" s="1" t="n">
        <v>46163</v>
      </c>
      <c r="D28" t="inlineStr">
        <is>
          <t>STOCKHOLMS LÄN</t>
        </is>
      </c>
      <c r="E28" t="inlineStr">
        <is>
          <t>VÄRMDÖ</t>
        </is>
      </c>
      <c r="G28" t="n">
        <v>12.5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6894-2026</t>
        </is>
      </c>
      <c r="B29" s="1" t="n">
        <v>46057.47780092592</v>
      </c>
      <c r="C29" s="1" t="n">
        <v>46163</v>
      </c>
      <c r="D29" t="inlineStr">
        <is>
          <t>STOCKHOLMS LÄN</t>
        </is>
      </c>
      <c r="E29" t="inlineStr">
        <is>
          <t>VÄRMDÖ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46163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36148-2023</t>
        </is>
      </c>
      <c r="B31" s="1" t="n">
        <v>45149</v>
      </c>
      <c r="C31" s="1" t="n">
        <v>46163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33046-2022</t>
        </is>
      </c>
      <c r="B32" s="1" t="n">
        <v>44785</v>
      </c>
      <c r="C32" s="1" t="n">
        <v>46163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46485-2025</t>
        </is>
      </c>
      <c r="B33" s="1" t="n">
        <v>45925.70648148148</v>
      </c>
      <c r="C33" s="1" t="n">
        <v>46163</v>
      </c>
      <c r="D33" t="inlineStr">
        <is>
          <t>STOCKHOLMS LÄN</t>
        </is>
      </c>
      <c r="E33" t="inlineStr">
        <is>
          <t>VÄRMDÖ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17086-2025</t>
        </is>
      </c>
      <c r="B34" s="1" t="n">
        <v>45754</v>
      </c>
      <c r="C34" s="1" t="n">
        <v>46163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33958-2023</t>
        </is>
      </c>
      <c r="B35" s="1" t="n">
        <v>45124</v>
      </c>
      <c r="C35" s="1" t="n">
        <v>46163</v>
      </c>
      <c r="D35" t="inlineStr">
        <is>
          <t>STOCKHOLMS LÄN</t>
        </is>
      </c>
      <c r="E35" t="inlineStr">
        <is>
          <t>VÄRMDÖ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46163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39082-2021</t>
        </is>
      </c>
      <c r="B37" s="1" t="n">
        <v>44412</v>
      </c>
      <c r="C37" s="1" t="n">
        <v>46163</v>
      </c>
      <c r="D37" t="inlineStr">
        <is>
          <t>STOCKHOLMS LÄN</t>
        </is>
      </c>
      <c r="E37" t="inlineStr">
        <is>
          <t>VÄRMDÖ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49568-2024</t>
        </is>
      </c>
      <c r="B38" s="1" t="n">
        <v>45596.49587962963</v>
      </c>
      <c r="C38" s="1" t="n">
        <v>46163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28590-2024</t>
        </is>
      </c>
      <c r="B39" s="1" t="n">
        <v>45478.41633101852</v>
      </c>
      <c r="C39" s="1" t="n">
        <v>46163</v>
      </c>
      <c r="D39" t="inlineStr">
        <is>
          <t>STOCKHOLMS LÄN</t>
        </is>
      </c>
      <c r="E39" t="inlineStr">
        <is>
          <t>VÄRMDÖ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2240-2023</t>
        </is>
      </c>
      <c r="B40" s="1" t="n">
        <v>44938</v>
      </c>
      <c r="C40" s="1" t="n">
        <v>46163</v>
      </c>
      <c r="D40" t="inlineStr">
        <is>
          <t>STOCKHOLMS LÄN</t>
        </is>
      </c>
      <c r="E40" t="inlineStr">
        <is>
          <t>VÄRMDÖ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20346-2025</t>
        </is>
      </c>
      <c r="B41" s="1" t="n">
        <v>45775.38138888889</v>
      </c>
      <c r="C41" s="1" t="n">
        <v>46163</v>
      </c>
      <c r="D41" t="inlineStr">
        <is>
          <t>STOCKHOLMS LÄN</t>
        </is>
      </c>
      <c r="E41" t="inlineStr">
        <is>
          <t>VÄRMDÖ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8756-2023</t>
        </is>
      </c>
      <c r="B42" s="1" t="n">
        <v>44972</v>
      </c>
      <c r="C42" s="1" t="n">
        <v>46163</v>
      </c>
      <c r="D42" t="inlineStr">
        <is>
          <t>STOCKHOLMS LÄN</t>
        </is>
      </c>
      <c r="E42" t="inlineStr">
        <is>
          <t>VÄRMDÖ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30002-2023</t>
        </is>
      </c>
      <c r="B43" s="1" t="n">
        <v>45109</v>
      </c>
      <c r="C43" s="1" t="n">
        <v>46163</v>
      </c>
      <c r="D43" t="inlineStr">
        <is>
          <t>STOCKHOLMS LÄN</t>
        </is>
      </c>
      <c r="E43" t="inlineStr">
        <is>
          <t>VÄRMDÖ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46163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33061-2024</t>
        </is>
      </c>
      <c r="B45" s="1" t="n">
        <v>45517.64091435185</v>
      </c>
      <c r="C45" s="1" t="n">
        <v>46163</v>
      </c>
      <c r="D45" t="inlineStr">
        <is>
          <t>STOCKHOLMS LÄN</t>
        </is>
      </c>
      <c r="E45" t="inlineStr">
        <is>
          <t>VÄRMDÖ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46163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46163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23720-2023</t>
        </is>
      </c>
      <c r="B48" s="1" t="n">
        <v>45077.6678125</v>
      </c>
      <c r="C48" s="1" t="n">
        <v>46163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114-2023</t>
        </is>
      </c>
      <c r="B49" s="1" t="n">
        <v>44918</v>
      </c>
      <c r="C49" s="1" t="n">
        <v>46163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3827-2022</t>
        </is>
      </c>
      <c r="B50" s="1" t="n">
        <v>44587</v>
      </c>
      <c r="C50" s="1" t="n">
        <v>46163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2026-05-21T10:51:31Z</dcterms:created>
  <dcterms:modified xmlns:dcterms="http://purl.org/dc/terms/" xmlns:xsi="http://www.w3.org/2001/XMLSchema-instance" xsi:type="dcterms:W3CDTF">2026-05-21T10:51:32Z</dcterms:modified>
</cp:coreProperties>
</file>