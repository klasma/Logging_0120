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46186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46186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46186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46186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46186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Backklöver
Gullklöver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46186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s="1" t="n">
        <v>44539</v>
      </c>
      <c r="C8" s="1" t="n">
        <v>46186</v>
      </c>
      <c r="D8" t="inlineStr">
        <is>
          <t>STOCKHOLMS LÄN</t>
        </is>
      </c>
      <c r="E8" t="inlineStr">
        <is>
          <t>VÄRMDÖ</t>
        </is>
      </c>
      <c r="F8" t="inlineStr">
        <is>
          <t>Övriga Aktiebolag</t>
        </is>
      </c>
      <c r="G8" t="n">
        <v>5.3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Sårläka</t>
        </is>
      </c>
      <c r="S8">
        <f>HYPERLINK("https://klasma.github.io/Logging_0120/artfynd/A 71315-2021 artfynd.xlsx", "A 71315-2021")</f>
        <v/>
      </c>
      <c r="T8">
        <f>HYPERLINK("https://klasma.github.io/Logging_0120/kartor/A 71315-2021 karta.png", "A 71315-2021")</f>
        <v/>
      </c>
      <c r="V8">
        <f>HYPERLINK("https://klasma.github.io/Logging_0120/klagomål/A 71315-2021 FSC-klagomål.docx", "A 71315-2021")</f>
        <v/>
      </c>
      <c r="W8">
        <f>HYPERLINK("https://klasma.github.io/Logging_0120/klagomålsmail/A 71315-2021 FSC-klagomål mail.docx", "A 71315-2021")</f>
        <v/>
      </c>
      <c r="X8">
        <f>HYPERLINK("https://klasma.github.io/Logging_0120/tillsyn/A 71315-2021 tillsynsbegäran.docx", "A 71315-2021")</f>
        <v/>
      </c>
      <c r="Y8">
        <f>HYPERLINK("https://klasma.github.io/Logging_0120/tillsynsmail/A 71315-2021 tillsynsbegäran mail.docx", "A 71315-2021")</f>
        <v/>
      </c>
    </row>
    <row r="9" ht="15" customHeight="1">
      <c r="A9" t="inlineStr">
        <is>
          <t>A 6412-2024</t>
        </is>
      </c>
      <c r="B9" s="1" t="n">
        <v>45338</v>
      </c>
      <c r="C9" s="1" t="n">
        <v>46186</v>
      </c>
      <c r="D9" t="inlineStr">
        <is>
          <t>STOCKHOLMS LÄN</t>
        </is>
      </c>
      <c r="E9" t="inlineStr">
        <is>
          <t>VÄRMDÖ</t>
        </is>
      </c>
      <c r="G9" t="n">
        <v>2.4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HYPERLINK("https://klasma.github.io/Logging_0120/artfynd/A 6412-2024 artfynd.xlsx", "A 6412-2024")</f>
        <v/>
      </c>
      <c r="T9">
        <f>HYPERLINK("https://klasma.github.io/Logging_0120/kartor/A 6412-2024 karta.png", "A 6412-2024")</f>
        <v/>
      </c>
      <c r="V9">
        <f>HYPERLINK("https://klasma.github.io/Logging_0120/klagomål/A 6412-2024 FSC-klagomål.docx", "A 6412-2024")</f>
        <v/>
      </c>
      <c r="W9">
        <f>HYPERLINK("https://klasma.github.io/Logging_0120/klagomålsmail/A 6412-2024 FSC-klagomål mail.docx", "A 6412-2024")</f>
        <v/>
      </c>
      <c r="X9">
        <f>HYPERLINK("https://klasma.github.io/Logging_0120/tillsyn/A 6412-2024 tillsynsbegäran.docx", "A 6412-2024")</f>
        <v/>
      </c>
      <c r="Y9">
        <f>HYPERLINK("https://klasma.github.io/Logging_0120/tillsynsmail/A 6412-2024 tillsynsbegäran mail.docx", "A 6412-2024")</f>
        <v/>
      </c>
    </row>
    <row r="10" ht="15" customHeight="1">
      <c r="A10" t="inlineStr">
        <is>
          <t>A 31593-2025</t>
        </is>
      </c>
      <c r="B10" s="1" t="n">
        <v>45833.70085648148</v>
      </c>
      <c r="C10" s="1" t="n">
        <v>46186</v>
      </c>
      <c r="D10" t="inlineStr">
        <is>
          <t>STOCKHOLMS LÄN</t>
        </is>
      </c>
      <c r="E10" t="inlineStr">
        <is>
          <t>VÄRMDÖ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31593-2025 artfynd.xlsx", "A 31593-2025")</f>
        <v/>
      </c>
      <c r="T10">
        <f>HYPERLINK("https://klasma.github.io/Logging_0120/kartor/A 31593-2025 karta.png", "A 31593-2025")</f>
        <v/>
      </c>
      <c r="V10">
        <f>HYPERLINK("https://klasma.github.io/Logging_0120/klagomål/A 31593-2025 FSC-klagomål.docx", "A 31593-2025")</f>
        <v/>
      </c>
      <c r="W10">
        <f>HYPERLINK("https://klasma.github.io/Logging_0120/klagomålsmail/A 31593-2025 FSC-klagomål mail.docx", "A 31593-2025")</f>
        <v/>
      </c>
      <c r="X10">
        <f>HYPERLINK("https://klasma.github.io/Logging_0120/tillsyn/A 31593-2025 tillsynsbegäran.docx", "A 31593-2025")</f>
        <v/>
      </c>
      <c r="Y10">
        <f>HYPERLINK("https://klasma.github.io/Logging_0120/tillsynsmail/A 31593-2025 tillsynsbegäran mail.docx", "A 31593-2025")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46186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46186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46186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49123-2021</t>
        </is>
      </c>
      <c r="B14" s="1" t="n">
        <v>44453.86436342593</v>
      </c>
      <c r="C14" s="1" t="n">
        <v>46186</v>
      </c>
      <c r="D14" t="inlineStr">
        <is>
          <t>STOCKHOLMS LÄN</t>
        </is>
      </c>
      <c r="E14" t="inlineStr">
        <is>
          <t>VÄRMDÖ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72108-2021</t>
        </is>
      </c>
      <c r="B15" s="1" t="n">
        <v>44544</v>
      </c>
      <c r="C15" s="1" t="n">
        <v>46186</v>
      </c>
      <c r="D15" t="inlineStr">
        <is>
          <t>STOCKHOLMS LÄN</t>
        </is>
      </c>
      <c r="E15" t="inlineStr">
        <is>
          <t>VÄRMDÖ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39073-2021</t>
        </is>
      </c>
      <c r="B16" s="1" t="n">
        <v>44412.5749537037</v>
      </c>
      <c r="C16" s="1" t="n">
        <v>46186</v>
      </c>
      <c r="D16" t="inlineStr">
        <is>
          <t>STOCKHOLMS LÄN</t>
        </is>
      </c>
      <c r="E16" t="inlineStr">
        <is>
          <t>VÄRMDÖ</t>
        </is>
      </c>
      <c r="G16" t="n">
        <v>8.300000000000001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71317-2021</t>
        </is>
      </c>
      <c r="B17" s="1" t="n">
        <v>44539.68760416667</v>
      </c>
      <c r="C17" s="1" t="n">
        <v>46186</v>
      </c>
      <c r="D17" t="inlineStr">
        <is>
          <t>STOCKHOLMS LÄN</t>
        </is>
      </c>
      <c r="E17" t="inlineStr">
        <is>
          <t>VÄRMDÖ</t>
        </is>
      </c>
      <c r="F17" t="inlineStr">
        <is>
          <t>Övriga Aktiebolag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71318-2021</t>
        </is>
      </c>
      <c r="B18" s="1" t="n">
        <v>44539.6910300926</v>
      </c>
      <c r="C18" s="1" t="n">
        <v>46186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20641-2022</t>
        </is>
      </c>
      <c r="B19" s="1" t="n">
        <v>44700</v>
      </c>
      <c r="C19" s="1" t="n">
        <v>46186</v>
      </c>
      <c r="D19" t="inlineStr">
        <is>
          <t>STOCKHOLMS LÄN</t>
        </is>
      </c>
      <c r="E19" t="inlineStr">
        <is>
          <t>VÄRMDÖ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72097-2021</t>
        </is>
      </c>
      <c r="B20" s="1" t="n">
        <v>44544</v>
      </c>
      <c r="C20" s="1" t="n">
        <v>46186</v>
      </c>
      <c r="D20" t="inlineStr">
        <is>
          <t>STOCKHOLMS LÄN</t>
        </is>
      </c>
      <c r="E20" t="inlineStr">
        <is>
          <t>VÄRMDÖ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3057-2022</t>
        </is>
      </c>
      <c r="B21" s="1" t="n">
        <v>44582</v>
      </c>
      <c r="C21" s="1" t="n">
        <v>46186</v>
      </c>
      <c r="D21" t="inlineStr">
        <is>
          <t>STOCKHOLMS LÄN</t>
        </is>
      </c>
      <c r="E21" t="inlineStr">
        <is>
          <t>VÄRMDÖ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72176-2021</t>
        </is>
      </c>
      <c r="B22" s="1" t="n">
        <v>44544</v>
      </c>
      <c r="C22" s="1" t="n">
        <v>46186</v>
      </c>
      <c r="D22" t="inlineStr">
        <is>
          <t>STOCKHOLMS LÄN</t>
        </is>
      </c>
      <c r="E22" t="inlineStr">
        <is>
          <t>VÄRMDÖ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20373-2025</t>
        </is>
      </c>
      <c r="B23" s="1" t="n">
        <v>45775.4216087963</v>
      </c>
      <c r="C23" s="1" t="n">
        <v>46186</v>
      </c>
      <c r="D23" t="inlineStr">
        <is>
          <t>STOCKHOLMS LÄN</t>
        </is>
      </c>
      <c r="E23" t="inlineStr">
        <is>
          <t>VÄRMDÖ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9966-2024</t>
        </is>
      </c>
      <c r="B24" s="1" t="n">
        <v>45363.65841435185</v>
      </c>
      <c r="C24" s="1" t="n">
        <v>46186</v>
      </c>
      <c r="D24" t="inlineStr">
        <is>
          <t>STOCKHOLMS LÄN</t>
        </is>
      </c>
      <c r="E24" t="inlineStr">
        <is>
          <t>VÄRMDÖ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32286-2023</t>
        </is>
      </c>
      <c r="B25" s="1" t="n">
        <v>45120</v>
      </c>
      <c r="C25" s="1" t="n">
        <v>46186</v>
      </c>
      <c r="D25" t="inlineStr">
        <is>
          <t>STOCKHOLMS LÄN</t>
        </is>
      </c>
      <c r="E25" t="inlineStr">
        <is>
          <t>VÄRMDÖ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32458-2023</t>
        </is>
      </c>
      <c r="B26" s="1" t="n">
        <v>45120</v>
      </c>
      <c r="C26" s="1" t="n">
        <v>46186</v>
      </c>
      <c r="D26" t="inlineStr">
        <is>
          <t>STOCKHOLMS LÄN</t>
        </is>
      </c>
      <c r="E26" t="inlineStr">
        <is>
          <t>VÄRMDÖ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36148-2023</t>
        </is>
      </c>
      <c r="B27" s="1" t="n">
        <v>45149</v>
      </c>
      <c r="C27" s="1" t="n">
        <v>46186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statliga verk och myndigheter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6894-2026</t>
        </is>
      </c>
      <c r="B28" s="1" t="n">
        <v>46057.47780092592</v>
      </c>
      <c r="C28" s="1" t="n">
        <v>46186</v>
      </c>
      <c r="D28" t="inlineStr">
        <is>
          <t>STOCKHOLMS LÄN</t>
        </is>
      </c>
      <c r="E28" t="inlineStr">
        <is>
          <t>VÄRMDÖ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33046-2022</t>
        </is>
      </c>
      <c r="B29" s="1" t="n">
        <v>44785</v>
      </c>
      <c r="C29" s="1" t="n">
        <v>46186</v>
      </c>
      <c r="D29" t="inlineStr">
        <is>
          <t>STOCKHOLMS LÄN</t>
        </is>
      </c>
      <c r="E29" t="inlineStr">
        <is>
          <t>VÄRMDÖ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46186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17086-2025</t>
        </is>
      </c>
      <c r="B31" s="1" t="n">
        <v>45754</v>
      </c>
      <c r="C31" s="1" t="n">
        <v>46186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33958-2023</t>
        </is>
      </c>
      <c r="B32" s="1" t="n">
        <v>45124</v>
      </c>
      <c r="C32" s="1" t="n">
        <v>46186</v>
      </c>
      <c r="D32" t="inlineStr">
        <is>
          <t>STOCKHOLMS LÄN</t>
        </is>
      </c>
      <c r="E32" t="inlineStr">
        <is>
          <t>VÄRMDÖ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17624-2024</t>
        </is>
      </c>
      <c r="B33" s="1" t="n">
        <v>45417.84</v>
      </c>
      <c r="C33" s="1" t="n">
        <v>46186</v>
      </c>
      <c r="D33" t="inlineStr">
        <is>
          <t>STOCKHOLMS LÄN</t>
        </is>
      </c>
      <c r="E33" t="inlineStr">
        <is>
          <t>VÄRMDÖ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39082-2021</t>
        </is>
      </c>
      <c r="B34" s="1" t="n">
        <v>44412</v>
      </c>
      <c r="C34" s="1" t="n">
        <v>46186</v>
      </c>
      <c r="D34" t="inlineStr">
        <is>
          <t>STOCKHOLMS LÄN</t>
        </is>
      </c>
      <c r="E34" t="inlineStr">
        <is>
          <t>VÄRMDÖ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49568-2024</t>
        </is>
      </c>
      <c r="B35" s="1" t="n">
        <v>45596.49587962963</v>
      </c>
      <c r="C35" s="1" t="n">
        <v>46186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28590-2024</t>
        </is>
      </c>
      <c r="B36" s="1" t="n">
        <v>45478.41633101852</v>
      </c>
      <c r="C36" s="1" t="n">
        <v>46186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2240-2023</t>
        </is>
      </c>
      <c r="B37" s="1" t="n">
        <v>44938</v>
      </c>
      <c r="C37" s="1" t="n">
        <v>46186</v>
      </c>
      <c r="D37" t="inlineStr">
        <is>
          <t>STOCKHOLMS LÄN</t>
        </is>
      </c>
      <c r="E37" t="inlineStr">
        <is>
          <t>VÄRMDÖ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24798-2026</t>
        </is>
      </c>
      <c r="B38" s="1" t="n">
        <v>46171.76434027778</v>
      </c>
      <c r="C38" s="1" t="n">
        <v>46186</v>
      </c>
      <c r="D38" t="inlineStr">
        <is>
          <t>STOCKHOLMS LÄN</t>
        </is>
      </c>
      <c r="E38" t="inlineStr">
        <is>
          <t>VÄRMDÖ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24622-2026</t>
        </is>
      </c>
      <c r="B39" s="1" t="n">
        <v>46171.36106481482</v>
      </c>
      <c r="C39" s="1" t="n">
        <v>46186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46186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30002-2023</t>
        </is>
      </c>
      <c r="B41" s="1" t="n">
        <v>45109</v>
      </c>
      <c r="C41" s="1" t="n">
        <v>46186</v>
      </c>
      <c r="D41" t="inlineStr">
        <is>
          <t>STOCKHOLMS LÄN</t>
        </is>
      </c>
      <c r="E41" t="inlineStr">
        <is>
          <t>VÄRMDÖ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46186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46186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20053-2023</t>
        </is>
      </c>
      <c r="B44" s="1" t="n">
        <v>45054</v>
      </c>
      <c r="C44" s="1" t="n">
        <v>46186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Aktiebolag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114-2023</t>
        </is>
      </c>
      <c r="B45" s="1" t="n">
        <v>44918</v>
      </c>
      <c r="C45" s="1" t="n">
        <v>46186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3827-2022</t>
        </is>
      </c>
      <c r="B46" s="1" t="n">
        <v>44587</v>
      </c>
      <c r="C46" s="1" t="n">
        <v>46186</v>
      </c>
      <c r="D46" t="inlineStr">
        <is>
          <t>STOCKHOLMS LÄN</t>
        </is>
      </c>
      <c r="E46" t="inlineStr">
        <is>
          <t>VÄRMDÖ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2026-06-13T09:22:37Z</dcterms:created>
  <dcterms:modified xmlns:dcterms="http://purl.org/dc/terms/" xmlns:xsi="http://www.w3.org/2001/XMLSchema-instance" xsi:type="dcterms:W3CDTF">2026-06-13T09:22:37Z</dcterms:modified>
</cp:coreProperties>
</file>