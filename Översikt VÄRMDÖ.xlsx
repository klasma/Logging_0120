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46004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46004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46004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46004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46004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46004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46004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46004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46004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48658-2022</t>
        </is>
      </c>
      <c r="B11" s="1" t="n">
        <v>44859</v>
      </c>
      <c r="C11" s="1" t="n">
        <v>46004</v>
      </c>
      <c r="D11" t="inlineStr">
        <is>
          <t>STOCKHOLMS LÄN</t>
        </is>
      </c>
      <c r="E11" t="inlineStr">
        <is>
          <t>VÄRMDÖ</t>
        </is>
      </c>
      <c r="G11" t="n">
        <v>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48658-2022 artfynd.xlsx", "A 48658-2022")</f>
        <v/>
      </c>
      <c r="T11">
        <f>HYPERLINK("https://klasma.github.io/Logging_0120/kartor/A 48658-2022 karta.png", "A 48658-2022")</f>
        <v/>
      </c>
      <c r="V11">
        <f>HYPERLINK("https://klasma.github.io/Logging_0120/klagomål/A 48658-2022 FSC-klagomål.docx", "A 48658-2022")</f>
        <v/>
      </c>
      <c r="W11">
        <f>HYPERLINK("https://klasma.github.io/Logging_0120/klagomålsmail/A 48658-2022 FSC-klagomål mail.docx", "A 48658-2022")</f>
        <v/>
      </c>
      <c r="X11">
        <f>HYPERLINK("https://klasma.github.io/Logging_0120/tillsyn/A 48658-2022 tillsynsbegäran.docx", "A 48658-2022")</f>
        <v/>
      </c>
      <c r="Y11">
        <f>HYPERLINK("https://klasma.github.io/Logging_0120/tillsynsmail/A 48658-2022 tillsynsbegäran mail.docx", "A 48658-2022")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46004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46004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6412-2024</t>
        </is>
      </c>
      <c r="B14" s="1" t="n">
        <v>45338</v>
      </c>
      <c r="C14" s="1" t="n">
        <v>46004</v>
      </c>
      <c r="D14" t="inlineStr">
        <is>
          <t>STOCKHOLMS LÄN</t>
        </is>
      </c>
      <c r="E14" t="inlineStr">
        <is>
          <t>VÄRMDÖ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HYPERLINK("https://klasma.github.io/Logging_0120/artfynd/A 6412-2024 artfynd.xlsx", "A 6412-2024")</f>
        <v/>
      </c>
      <c r="T14">
        <f>HYPERLINK("https://klasma.github.io/Logging_0120/kartor/A 6412-2024 karta.png", "A 6412-2024")</f>
        <v/>
      </c>
      <c r="V14">
        <f>HYPERLINK("https://klasma.github.io/Logging_0120/klagomål/A 6412-2024 FSC-klagomål.docx", "A 6412-2024")</f>
        <v/>
      </c>
      <c r="W14">
        <f>HYPERLINK("https://klasma.github.io/Logging_0120/klagomålsmail/A 6412-2024 FSC-klagomål mail.docx", "A 6412-2024")</f>
        <v/>
      </c>
      <c r="X14">
        <f>HYPERLINK("https://klasma.github.io/Logging_0120/tillsyn/A 6412-2024 tillsynsbegäran.docx", "A 6412-2024")</f>
        <v/>
      </c>
      <c r="Y14">
        <f>HYPERLINK("https://klasma.github.io/Logging_0120/tillsynsmail/A 6412-2024 tillsynsbegäran mail.docx", "A 6412-2024")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46004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46004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46004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46004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46004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16086-2021</t>
        </is>
      </c>
      <c r="B20" s="1" t="n">
        <v>44288</v>
      </c>
      <c r="C20" s="1" t="n">
        <v>46004</v>
      </c>
      <c r="D20" t="inlineStr">
        <is>
          <t>STOCKHOLMS LÄN</t>
        </is>
      </c>
      <c r="E20" t="inlineStr">
        <is>
          <t>VÄRMDÖ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22708-2021</t>
        </is>
      </c>
      <c r="B21" s="1" t="n">
        <v>44327</v>
      </c>
      <c r="C21" s="1" t="n">
        <v>46004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46004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72108-2021</t>
        </is>
      </c>
      <c r="B23" s="1" t="n">
        <v>44544</v>
      </c>
      <c r="C23" s="1" t="n">
        <v>46004</v>
      </c>
      <c r="D23" t="inlineStr">
        <is>
          <t>STOCKHOLMS LÄN</t>
        </is>
      </c>
      <c r="E23" t="inlineStr">
        <is>
          <t>VÄRMDÖ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71318-2021</t>
        </is>
      </c>
      <c r="B24" s="1" t="n">
        <v>44539.6910300926</v>
      </c>
      <c r="C24" s="1" t="n">
        <v>46004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Aktiebolag</t>
        </is>
      </c>
      <c r="G24" t="n">
        <v>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46004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15926-2021</t>
        </is>
      </c>
      <c r="B26" s="1" t="n">
        <v>44287</v>
      </c>
      <c r="C26" s="1" t="n">
        <v>46004</v>
      </c>
      <c r="D26" t="inlineStr">
        <is>
          <t>STOCKHOLMS LÄN</t>
        </is>
      </c>
      <c r="E26" t="inlineStr">
        <is>
          <t>VÄRMDÖ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46004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46004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20641-2022</t>
        </is>
      </c>
      <c r="B29" s="1" t="n">
        <v>44700</v>
      </c>
      <c r="C29" s="1" t="n">
        <v>46004</v>
      </c>
      <c r="D29" t="inlineStr">
        <is>
          <t>STOCKHOLMS LÄN</t>
        </is>
      </c>
      <c r="E29" t="inlineStr">
        <is>
          <t>VÄRMDÖ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1244-2022</t>
        </is>
      </c>
      <c r="B30" s="1" t="n">
        <v>44572</v>
      </c>
      <c r="C30" s="1" t="n">
        <v>46004</v>
      </c>
      <c r="D30" t="inlineStr">
        <is>
          <t>STOCKHOLMS LÄN</t>
        </is>
      </c>
      <c r="E30" t="inlineStr">
        <is>
          <t>VÄRMDÖ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  <c r="T30">
        <f>HYPERLINK("https://klasma.github.io/Logging_0120/kartor/A 1244-2022 karta.png", "A 1244-2022")</f>
        <v/>
      </c>
      <c r="V30">
        <f>HYPERLINK("https://klasma.github.io/Logging_0120/klagomål/A 1244-2022 FSC-klagomål.docx", "A 1244-2022")</f>
        <v/>
      </c>
      <c r="W30">
        <f>HYPERLINK("https://klasma.github.io/Logging_0120/klagomålsmail/A 1244-2022 FSC-klagomål mail.docx", "A 1244-2022")</f>
        <v/>
      </c>
      <c r="X30">
        <f>HYPERLINK("https://klasma.github.io/Logging_0120/tillsyn/A 1244-2022 tillsynsbegäran.docx", "A 1244-2022")</f>
        <v/>
      </c>
      <c r="Y30">
        <f>HYPERLINK("https://klasma.github.io/Logging_0120/tillsynsmail/A 1244-2022 tillsynsbegäran mail.docx", "A 1244-2022")</f>
        <v/>
      </c>
      <c r="Z30">
        <f>HYPERLINK("https://klasma.github.io/Logging_0120/fåglar/A 1244-2022 prioriterade fågelarter.docx", "A 1244-2022")</f>
        <v/>
      </c>
    </row>
    <row r="31" ht="15" customHeight="1">
      <c r="A31" t="inlineStr">
        <is>
          <t>A 72097-2021</t>
        </is>
      </c>
      <c r="B31" s="1" t="n">
        <v>44544</v>
      </c>
      <c r="C31" s="1" t="n">
        <v>46004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46004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46004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46004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32458-2023</t>
        </is>
      </c>
      <c r="B35" s="1" t="n">
        <v>45120</v>
      </c>
      <c r="C35" s="1" t="n">
        <v>46004</v>
      </c>
      <c r="D35" t="inlineStr">
        <is>
          <t>STOCKHOLMS LÄN</t>
        </is>
      </c>
      <c r="E35" t="inlineStr">
        <is>
          <t>VÄRMDÖ</t>
        </is>
      </c>
      <c r="G35" t="n">
        <v>12.5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36148-2023</t>
        </is>
      </c>
      <c r="B36" s="1" t="n">
        <v>45149</v>
      </c>
      <c r="C36" s="1" t="n">
        <v>46004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17086-2025</t>
        </is>
      </c>
      <c r="B37" s="1" t="n">
        <v>45754</v>
      </c>
      <c r="C37" s="1" t="n">
        <v>46004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statliga verk och myndigheter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33958-2023</t>
        </is>
      </c>
      <c r="B38" s="1" t="n">
        <v>45124</v>
      </c>
      <c r="C38" s="1" t="n">
        <v>46004</v>
      </c>
      <c r="D38" t="inlineStr">
        <is>
          <t>STOCKHOLMS LÄN</t>
        </is>
      </c>
      <c r="E38" t="inlineStr">
        <is>
          <t>VÄRMDÖ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9966-2024</t>
        </is>
      </c>
      <c r="B39" s="1" t="n">
        <v>45363.65841435185</v>
      </c>
      <c r="C39" s="1" t="n">
        <v>46004</v>
      </c>
      <c r="D39" t="inlineStr">
        <is>
          <t>STOCKHOLMS LÄN</t>
        </is>
      </c>
      <c r="E39" t="inlineStr">
        <is>
          <t>VÄRMDÖ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32286-2023</t>
        </is>
      </c>
      <c r="B40" s="1" t="n">
        <v>45120</v>
      </c>
      <c r="C40" s="1" t="n">
        <v>46004</v>
      </c>
      <c r="D40" t="inlineStr">
        <is>
          <t>STOCKHOLMS LÄN</t>
        </is>
      </c>
      <c r="E40" t="inlineStr">
        <is>
          <t>VÄRMDÖ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17624-2024</t>
        </is>
      </c>
      <c r="B41" s="1" t="n">
        <v>45417.84</v>
      </c>
      <c r="C41" s="1" t="n">
        <v>46004</v>
      </c>
      <c r="D41" t="inlineStr">
        <is>
          <t>STOCKHOLMS LÄN</t>
        </is>
      </c>
      <c r="E41" t="inlineStr">
        <is>
          <t>VÄRMDÖ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20346-2025</t>
        </is>
      </c>
      <c r="B42" s="1" t="n">
        <v>45775.38138888889</v>
      </c>
      <c r="C42" s="1" t="n">
        <v>46004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33046-2022</t>
        </is>
      </c>
      <c r="B43" s="1" t="n">
        <v>44785</v>
      </c>
      <c r="C43" s="1" t="n">
        <v>46004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46004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49568-2024</t>
        </is>
      </c>
      <c r="B45" s="1" t="n">
        <v>45596.49587962963</v>
      </c>
      <c r="C45" s="1" t="n">
        <v>46004</v>
      </c>
      <c r="D45" t="inlineStr">
        <is>
          <t>STOCKHOLMS LÄN</t>
        </is>
      </c>
      <c r="E45" t="inlineStr">
        <is>
          <t>VÄRMDÖ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9024-2021</t>
        </is>
      </c>
      <c r="B46" s="1" t="n">
        <v>44249.55199074074</v>
      </c>
      <c r="C46" s="1" t="n">
        <v>46004</v>
      </c>
      <c r="D46" t="inlineStr">
        <is>
          <t>STOCKHOLMS LÄN</t>
        </is>
      </c>
      <c r="E46" t="inlineStr">
        <is>
          <t>VÄRMDÖ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8756-2023</t>
        </is>
      </c>
      <c r="B47" s="1" t="n">
        <v>44972</v>
      </c>
      <c r="C47" s="1" t="n">
        <v>46004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23720-2023</t>
        </is>
      </c>
      <c r="B48" s="1" t="n">
        <v>45077.6678125</v>
      </c>
      <c r="C48" s="1" t="n">
        <v>46004</v>
      </c>
      <c r="D48" t="inlineStr">
        <is>
          <t>STOCKHOLMS LÄN</t>
        </is>
      </c>
      <c r="E48" t="inlineStr">
        <is>
          <t>VÄRMDÖ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30002-2023</t>
        </is>
      </c>
      <c r="B49" s="1" t="n">
        <v>45109</v>
      </c>
      <c r="C49" s="1" t="n">
        <v>46004</v>
      </c>
      <c r="D49" t="inlineStr">
        <is>
          <t>STOCKHOLMS LÄN</t>
        </is>
      </c>
      <c r="E49" t="inlineStr">
        <is>
          <t>VÄRMDÖ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17623-2024</t>
        </is>
      </c>
      <c r="B50" s="1" t="n">
        <v>45417.83097222223</v>
      </c>
      <c r="C50" s="1" t="n">
        <v>46004</v>
      </c>
      <c r="D50" t="inlineStr">
        <is>
          <t>STOCKHOLMS LÄN</t>
        </is>
      </c>
      <c r="E50" t="inlineStr">
        <is>
          <t>VÄRMDÖ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33061-2024</t>
        </is>
      </c>
      <c r="B51" s="1" t="n">
        <v>45517.64091435185</v>
      </c>
      <c r="C51" s="1" t="n">
        <v>46004</v>
      </c>
      <c r="D51" t="inlineStr">
        <is>
          <t>STOCKHOLMS LÄN</t>
        </is>
      </c>
      <c r="E51" t="inlineStr">
        <is>
          <t>VÄRMDÖ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28590-2024</t>
        </is>
      </c>
      <c r="B52" s="1" t="n">
        <v>45478.41633101852</v>
      </c>
      <c r="C52" s="1" t="n">
        <v>46004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20053-2023</t>
        </is>
      </c>
      <c r="B53" s="1" t="n">
        <v>45054</v>
      </c>
      <c r="C53" s="1" t="n">
        <v>46004</v>
      </c>
      <c r="D53" t="inlineStr">
        <is>
          <t>STOCKHOLMS LÄN</t>
        </is>
      </c>
      <c r="E53" t="inlineStr">
        <is>
          <t>VÄRMDÖ</t>
        </is>
      </c>
      <c r="F53" t="inlineStr">
        <is>
          <t>Övriga Aktiebolag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45572-2021</t>
        </is>
      </c>
      <c r="B54" s="1" t="n">
        <v>44440</v>
      </c>
      <c r="C54" s="1" t="n">
        <v>46004</v>
      </c>
      <c r="D54" t="inlineStr">
        <is>
          <t>STOCKHOLMS LÄN</t>
        </is>
      </c>
      <c r="E54" t="inlineStr">
        <is>
          <t>VÄRMDÖ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114-2023</t>
        </is>
      </c>
      <c r="B55" s="1" t="n">
        <v>44918</v>
      </c>
      <c r="C55" s="1" t="n">
        <v>46004</v>
      </c>
      <c r="D55" t="inlineStr">
        <is>
          <t>STOCKHOLMS LÄN</t>
        </is>
      </c>
      <c r="E55" t="inlineStr">
        <is>
          <t>VÄRMDÖ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2240-2023</t>
        </is>
      </c>
      <c r="B56" s="1" t="n">
        <v>44938</v>
      </c>
      <c r="C56" s="1" t="n">
        <v>46004</v>
      </c>
      <c r="D56" t="inlineStr">
        <is>
          <t>STOCKHOLMS LÄN</t>
        </is>
      </c>
      <c r="E56" t="inlineStr">
        <is>
          <t>VÄRMDÖ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14008-2021</t>
        </is>
      </c>
      <c r="B57" s="1" t="n">
        <v>44277</v>
      </c>
      <c r="C57" s="1" t="n">
        <v>46004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statliga verk och myndigheter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3827-2022</t>
        </is>
      </c>
      <c r="B58" s="1" t="n">
        <v>44587</v>
      </c>
      <c r="C58" s="1" t="n">
        <v>46004</v>
      </c>
      <c r="D58" t="inlineStr">
        <is>
          <t>STOCKHOLMS LÄN</t>
        </is>
      </c>
      <c r="E58" t="inlineStr">
        <is>
          <t>VÄRMDÖ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46485-2025</t>
        </is>
      </c>
      <c r="B59" s="1" t="n">
        <v>45925.70648148148</v>
      </c>
      <c r="C59" s="1" t="n">
        <v>46004</v>
      </c>
      <c r="D59" t="inlineStr">
        <is>
          <t>STOCKHOLMS LÄN</t>
        </is>
      </c>
      <c r="E59" t="inlineStr">
        <is>
          <t>VÄRMDÖ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32230-2025</t>
        </is>
      </c>
      <c r="B60" s="1" t="n">
        <v>45835.59810185185</v>
      </c>
      <c r="C60" s="1" t="n">
        <v>46004</v>
      </c>
      <c r="D60" t="inlineStr">
        <is>
          <t>STOCKHOLMS LÄN</t>
        </is>
      </c>
      <c r="E60" t="inlineStr">
        <is>
          <t>VÄRMDÖ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2025-12-13T10:29:33Z</dcterms:created>
  <dcterms:modified xmlns:dcterms="http://purl.org/dc/terms/" xmlns:xsi="http://www.w3.org/2001/XMLSchema-instance" xsi:type="dcterms:W3CDTF">2025-12-13T10:29:33Z</dcterms:modified>
</cp:coreProperties>
</file>