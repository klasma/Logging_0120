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46274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46274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46274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46274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46274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46274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46274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46274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46274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46274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46274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46274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28354-2026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46195</v>
      </c>
      <c r="E14" s="1" t="n">
        <v>46274</v>
      </c>
      <c r="F14" t="inlineStr">
        <is>
          <t>STOCKHOLMS LÄN</t>
        </is>
      </c>
      <c r="G14" t="inlineStr">
        <is>
          <t>VÄRMDÖ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Tallticka</t>
        </is>
      </c>
      <c r="W14">
        <f>HYPERLINK("https://klasma.github.io/Logging_0120/artfynd/A 28354-2026 artfynd.xlsx", "A 28354-2026")</f>
        <v/>
      </c>
      <c r="X14">
        <f>HYPERLINK("https://klasma.github.io/Logging_0120/kartor/A 28354-2026 karta.png", "A 28354-2026")</f>
        <v/>
      </c>
      <c r="Y14">
        <f>HYPERLINK("https://klasma.github.io/Logging_0120/kartor_geotiff/A 28354-2026 georefererad karta.tif", "A 28354-2026")</f>
        <v/>
      </c>
      <c r="AA14">
        <f>HYPERLINK("https://klasma.github.io/Logging_0120/klagomål/A 28354-2026 FSC-klagomål.docx", "A 28354-2026")</f>
        <v/>
      </c>
      <c r="AB14">
        <f>HYPERLINK("https://klasma.github.io/Logging_0120/klagomålsmail/A 28354-2026 FSC-klagomål mail.docx", "A 28354-2026")</f>
        <v/>
      </c>
      <c r="AC14">
        <f>HYPERLINK("https://klasma.github.io/Logging_0120/tillsyn/A 28354-2026 tillsynsbegäran.docx", "A 28354-2026")</f>
        <v/>
      </c>
      <c r="AD14">
        <f>HYPERLINK("https://klasma.github.io/Logging_0120/tillsynsmail/A 28354-2026 tillsynsbegäran mail.docx", "A 28354-2026")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46274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44757</v>
      </c>
      <c r="E16" s="1" t="n">
        <v>46274</v>
      </c>
      <c r="F16" t="inlineStr">
        <is>
          <t>STOCKHOLMS LÄN</t>
        </is>
      </c>
      <c r="G16" t="inlineStr">
        <is>
          <t>VÄRMDÖ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Lunglav</t>
        </is>
      </c>
      <c r="W16">
        <f>HYPERLINK("https://klasma.github.io/Logging_0120/artfynd/A 30154-2022 artfynd.xlsx", "A 30154-2022")</f>
        <v/>
      </c>
      <c r="X16">
        <f>HYPERLINK("https://klasma.github.io/Logging_0120/kartor/A 30154-2022 karta.png", "A 30154-2022")</f>
        <v/>
      </c>
      <c r="Y16">
        <f>HYPERLINK("https://klasma.github.io/Logging_0120/kartor_geotiff/A 30154-2022 georefererad karta.tif", "A 30154-2022")</f>
        <v/>
      </c>
      <c r="AA16">
        <f>HYPERLINK("https://klasma.github.io/Logging_0120/klagomål/A 30154-2022 FSC-klagomål.docx", "A 30154-2022")</f>
        <v/>
      </c>
      <c r="AB16">
        <f>HYPERLINK("https://klasma.github.io/Logging_0120/klagomålsmail/A 30154-2022 FSC-klagomål mail.docx", "A 30154-2022")</f>
        <v/>
      </c>
      <c r="AC16">
        <f>HYPERLINK("https://klasma.github.io/Logging_0120/tillsyn/A 30154-2022 tillsynsbegäran.docx", "A 30154-2022")</f>
        <v/>
      </c>
      <c r="AD16">
        <f>HYPERLINK("https://klasma.github.io/Logging_0120/tillsynsmail/A 30154-2022 tillsynsbegäran mail.docx", "A 30154-2022")</f>
        <v/>
      </c>
    </row>
    <row r="17" ht="15" customHeight="1">
      <c r="A17" t="inlineStr">
        <is>
          <t>A 31593-2025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45833</v>
      </c>
      <c r="E17" s="1" t="n">
        <v>46274</v>
      </c>
      <c r="F17" t="inlineStr">
        <is>
          <t>STOCKHOLMS LÄN</t>
        </is>
      </c>
      <c r="G17" t="inlineStr">
        <is>
          <t>VÄRMDÖ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HYPERLINK("https://klasma.github.io/Logging_0120/artfynd/A 31593-2025 artfynd.xlsx", "A 31593-2025")</f>
        <v/>
      </c>
      <c r="X17">
        <f>HYPERLINK("https://klasma.github.io/Logging_0120/kartor/A 31593-2025 karta.png", "A 31593-2025")</f>
        <v/>
      </c>
      <c r="Y17">
        <f>HYPERLINK("https://klasma.github.io/Logging_0120/kartor_geotiff/A 31593-2025 georefererad karta.tif", "A 31593-2025")</f>
        <v/>
      </c>
      <c r="AA17">
        <f>HYPERLINK("https://klasma.github.io/Logging_0120/klagomål/A 31593-2025 FSC-klagomål.docx", "A 31593-2025")</f>
        <v/>
      </c>
      <c r="AB17">
        <f>HYPERLINK("https://klasma.github.io/Logging_0120/klagomålsmail/A 31593-2025 FSC-klagomål mail.docx", "A 31593-2025")</f>
        <v/>
      </c>
      <c r="AC17">
        <f>HYPERLINK("https://klasma.github.io/Logging_0120/tillsyn/A 31593-2025 tillsynsbegäran.docx", "A 31593-2025")</f>
        <v/>
      </c>
      <c r="AD17">
        <f>HYPERLINK("https://klasma.github.io/Logging_0120/tillsynsmail/A 31593-2025 tillsynsbegäran mail.docx", "A 31593-2025")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46274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46274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46274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46274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46274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46274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46274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46274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46274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32458-2023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45120</v>
      </c>
      <c r="E27" s="1" t="n">
        <v>46274</v>
      </c>
      <c r="F27" t="inlineStr">
        <is>
          <t>STOCKHOLMS LÄN</t>
        </is>
      </c>
      <c r="G27" t="inlineStr">
        <is>
          <t>VÄRMDÖ</t>
        </is>
      </c>
      <c r="I27" t="n">
        <v>12.5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36148-2023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45149</v>
      </c>
      <c r="E28" s="1" t="n">
        <v>46274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17086-2025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45754</v>
      </c>
      <c r="E29" s="1" t="n">
        <v>46274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4.3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33958-2023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45124</v>
      </c>
      <c r="E30" s="1" t="n">
        <v>46274</v>
      </c>
      <c r="F30" t="inlineStr">
        <is>
          <t>STOCKHOLMS LÄN</t>
        </is>
      </c>
      <c r="G30" t="inlineStr">
        <is>
          <t>VÄRMDÖ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45417</v>
      </c>
      <c r="E31" s="1" t="n">
        <v>46274</v>
      </c>
      <c r="F31" t="inlineStr">
        <is>
          <t>STOCKHOLMS LÄN</t>
        </is>
      </c>
      <c r="G31" t="inlineStr">
        <is>
          <t>VÄRMDÖ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46274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46274</v>
      </c>
      <c r="F33" t="inlineStr">
        <is>
          <t>STOCKHOLMS LÄN</t>
        </is>
      </c>
      <c r="G33" t="inlineStr">
        <is>
          <t>VÄRMDÖ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49568-2024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46274</v>
      </c>
      <c r="F34" t="inlineStr">
        <is>
          <t>STOCKHOLMS LÄN</t>
        </is>
      </c>
      <c r="G34" t="inlineStr">
        <is>
          <t>VÄRMDÖ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28590-2024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45478</v>
      </c>
      <c r="E35" s="1" t="n">
        <v>46274</v>
      </c>
      <c r="F35" t="inlineStr">
        <is>
          <t>STOCKHOLMS LÄN</t>
        </is>
      </c>
      <c r="G35" t="inlineStr">
        <is>
          <t>VÄRMDÖ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44938</v>
      </c>
      <c r="E36" s="1" t="n">
        <v>46274</v>
      </c>
      <c r="F36" t="inlineStr">
        <is>
          <t>STOCKHOLMS LÄN</t>
        </is>
      </c>
      <c r="G36" t="inlineStr">
        <is>
          <t>VÄRMDÖ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46274</v>
      </c>
      <c r="F37" t="inlineStr">
        <is>
          <t>STOCKHOLMS LÄN</t>
        </is>
      </c>
      <c r="G37" t="inlineStr">
        <is>
          <t>VÄRMDÖ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46274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17623-2024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45417</v>
      </c>
      <c r="E39" s="1" t="n">
        <v>46274</v>
      </c>
      <c r="F39" t="inlineStr">
        <is>
          <t>STOCKHOLMS LÄN</t>
        </is>
      </c>
      <c r="G39" t="inlineStr">
        <is>
          <t>VÄRMDÖ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33061-2024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45517</v>
      </c>
      <c r="E40" s="1" t="n">
        <v>46274</v>
      </c>
      <c r="F40" t="inlineStr">
        <is>
          <t>STOCKHOLMS LÄN</t>
        </is>
      </c>
      <c r="G40" t="inlineStr">
        <is>
          <t>VÄRMDÖ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20053-2023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45054</v>
      </c>
      <c r="E41" s="1" t="n">
        <v>46274</v>
      </c>
      <c r="F41" t="inlineStr">
        <is>
          <t>STOCKHOLMS LÄN</t>
        </is>
      </c>
      <c r="G41" t="inlineStr">
        <is>
          <t>VÄRMDÖ</t>
        </is>
      </c>
      <c r="H41" t="inlineStr">
        <is>
          <t>Övriga Aktiebolag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44918</v>
      </c>
      <c r="E42" s="1" t="n">
        <v>46274</v>
      </c>
      <c r="F42" t="inlineStr">
        <is>
          <t>STOCKHOLMS LÄN</t>
        </is>
      </c>
      <c r="G42" t="inlineStr">
        <is>
          <t>VÄRMDÖ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44587</v>
      </c>
      <c r="E43" s="1" t="n">
        <v>46274</v>
      </c>
      <c r="F43" t="inlineStr">
        <is>
          <t>STOCKHOLMS LÄN</t>
        </is>
      </c>
      <c r="G43" t="inlineStr">
        <is>
          <t>VÄRMDÖ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32230-2025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46274</v>
      </c>
      <c r="F44" t="inlineStr">
        <is>
          <t>STOCKHOLMS LÄN</t>
        </is>
      </c>
      <c r="G44" t="inlineStr">
        <is>
          <t>VÄRMDÖ</t>
        </is>
      </c>
      <c r="I44" t="n">
        <v>7.9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46274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46274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46274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46274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46274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46274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46274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46274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46274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46274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2026-09-09T02:14:41Z</dcterms:created>
  <dcterms:modified xmlns:dcterms="http://purl.org/dc/terms/" xmlns:xsi="http://www.w3.org/2001/XMLSchema-instance" xsi:type="dcterms:W3CDTF">2026-09-09T02:14:41Z</dcterms:modified>
</cp:coreProperties>
</file>