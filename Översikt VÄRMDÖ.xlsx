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46196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Sårläka
Tallticka
Talltita
Björksplintborre
Bronshjon
Granbarkgnagare
Thomsons trägnagare
Trådticka
Blåsippa
Spillkråka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</v>
      </c>
      <c r="C3" s="1" t="n">
        <v>46196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3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9</v>
      </c>
      <c r="R3" s="2" t="inlineStr">
        <is>
          <t>Blylav
Klosterlav
Mörk kraterlav
Lunglav
Sårläka
Vårärt
Strävlosta
Svart trolldruva
Tibast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s="1" t="n">
        <v>44544</v>
      </c>
      <c r="C4" s="1" t="n">
        <v>46196</v>
      </c>
      <c r="D4" t="inlineStr">
        <is>
          <t>STOCKHOLMS LÄN</t>
        </is>
      </c>
      <c r="E4" t="inlineStr">
        <is>
          <t>VÄRMDÖ</t>
        </is>
      </c>
      <c r="G4" t="n">
        <v>2.6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Blodvaxing
Luktvaxing
Toppvaxing
Vitvaxing agg.</t>
        </is>
      </c>
      <c r="S4">
        <f>HYPERLINK("https://klasma.github.io/Logging_0120/artfynd/A 72176-2021 artfynd.xlsx", "A 72176-2021")</f>
        <v/>
      </c>
      <c r="T4">
        <f>HYPERLINK("https://klasma.github.io/Logging_0120/kartor/A 72176-2021 karta.png", "A 72176-2021")</f>
        <v/>
      </c>
      <c r="V4">
        <f>HYPERLINK("https://klasma.github.io/Logging_0120/klagomål/A 72176-2021 FSC-klagomål.docx", "A 72176-2021")</f>
        <v/>
      </c>
      <c r="W4">
        <f>HYPERLINK("https://klasma.github.io/Logging_0120/klagomålsmail/A 72176-2021 FSC-klagomål mail.docx", "A 72176-2021")</f>
        <v/>
      </c>
      <c r="X4">
        <f>HYPERLINK("https://klasma.github.io/Logging_0120/tillsyn/A 72176-2021 tillsynsbegäran.docx", "A 72176-2021")</f>
        <v/>
      </c>
      <c r="Y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s="1" t="n">
        <v>44859</v>
      </c>
      <c r="C5" s="1" t="n">
        <v>46196</v>
      </c>
      <c r="D5" t="inlineStr">
        <is>
          <t>STOCKHOLMS LÄN</t>
        </is>
      </c>
      <c r="E5" t="inlineStr">
        <is>
          <t>VÄRMDÖ</t>
        </is>
      </c>
      <c r="G5" t="n">
        <v>4.2</v>
      </c>
      <c r="H5" t="n">
        <v>0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Ruttaggsvamp
Svartvit taggsvamp
Tallticka
Stor aspticka</t>
        </is>
      </c>
      <c r="S5">
        <f>HYPERLINK("https://klasma.github.io/Logging_0120/artfynd/A 48658-2022 artfynd.xlsx", "A 48658-2022")</f>
        <v/>
      </c>
      <c r="T5">
        <f>HYPERLINK("https://klasma.github.io/Logging_0120/kartor/A 48658-2022 karta.png", "A 48658-2022")</f>
        <v/>
      </c>
      <c r="V5">
        <f>HYPERLINK("https://klasma.github.io/Logging_0120/klagomål/A 48658-2022 FSC-klagomål.docx", "A 48658-2022")</f>
        <v/>
      </c>
      <c r="W5">
        <f>HYPERLINK("https://klasma.github.io/Logging_0120/klagomålsmail/A 48658-2022 FSC-klagomål mail.docx", "A 48658-2022")</f>
        <v/>
      </c>
      <c r="X5">
        <f>HYPERLINK("https://klasma.github.io/Logging_0120/tillsyn/A 48658-2022 tillsynsbegäran.docx", "A 48658-2022")</f>
        <v/>
      </c>
      <c r="Y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s="1" t="n">
        <v>45126</v>
      </c>
      <c r="C6" s="1" t="n">
        <v>46196</v>
      </c>
      <c r="D6" t="inlineStr">
        <is>
          <t>STOCKHOLMS LÄN</t>
        </is>
      </c>
      <c r="E6" t="inlineStr">
        <is>
          <t>VÄRMDÖ</t>
        </is>
      </c>
      <c r="G6" t="n">
        <v>3.8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Gullklöver
Jungfrulin
Vippärt</t>
        </is>
      </c>
      <c r="S6">
        <f>HYPERLINK("https://klasma.github.io/Logging_0120/artfynd/A 33166-2023 artfynd.xlsx", "A 33166-2023")</f>
        <v/>
      </c>
      <c r="T6">
        <f>HYPERLINK("https://klasma.github.io/Logging_0120/kartor/A 33166-2023 karta.png", "A 33166-2023")</f>
        <v/>
      </c>
      <c r="V6">
        <f>HYPERLINK("https://klasma.github.io/Logging_0120/klagomål/A 33166-2023 FSC-klagomål.docx", "A 33166-2023")</f>
        <v/>
      </c>
      <c r="W6">
        <f>HYPERLINK("https://klasma.github.io/Logging_0120/klagomålsmail/A 33166-2023 FSC-klagomål mail.docx", "A 33166-2023")</f>
        <v/>
      </c>
      <c r="X6">
        <f>HYPERLINK("https://klasma.github.io/Logging_0120/tillsyn/A 33166-2023 tillsynsbegäran.docx", "A 33166-2023")</f>
        <v/>
      </c>
      <c r="Y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s="1" t="n">
        <v>45833</v>
      </c>
      <c r="C7" s="1" t="n">
        <v>46196</v>
      </c>
      <c r="D7" t="inlineStr">
        <is>
          <t>STOCKHOLMS LÄN</t>
        </is>
      </c>
      <c r="E7" t="inlineStr">
        <is>
          <t>VÄRMDÖ</t>
        </is>
      </c>
      <c r="G7" t="n">
        <v>2.3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Klofibbla
Sårläka
Nästrot</t>
        </is>
      </c>
      <c r="S7">
        <f>HYPERLINK("https://klasma.github.io/Logging_0120/artfynd/A 31577-2025 artfynd.xlsx", "A 31577-2025")</f>
        <v/>
      </c>
      <c r="T7">
        <f>HYPERLINK("https://klasma.github.io/Logging_0120/kartor/A 31577-2025 karta.png", "A 31577-2025")</f>
        <v/>
      </c>
      <c r="V7">
        <f>HYPERLINK("https://klasma.github.io/Logging_0120/klagomål/A 31577-2025 FSC-klagomål.docx", "A 31577-2025")</f>
        <v/>
      </c>
      <c r="W7">
        <f>HYPERLINK("https://klasma.github.io/Logging_0120/klagomålsmail/A 31577-2025 FSC-klagomål mail.docx", "A 31577-2025")</f>
        <v/>
      </c>
      <c r="X7">
        <f>HYPERLINK("https://klasma.github.io/Logging_0120/tillsyn/A 31577-2025 tillsynsbegäran.docx", "A 31577-2025")</f>
        <v/>
      </c>
      <c r="Y7">
        <f>HYPERLINK("https://klasma.github.io/Logging_0120/tillsynsmail/A 31577-2025 tillsynsbegäran mail.docx", "A 31577-2025")</f>
        <v/>
      </c>
    </row>
    <row r="8" ht="15" customHeight="1">
      <c r="A8" t="inlineStr">
        <is>
          <t>A 6412-2024</t>
        </is>
      </c>
      <c r="B8" s="1" t="n">
        <v>45338</v>
      </c>
      <c r="C8" s="1" t="n">
        <v>46196</v>
      </c>
      <c r="D8" t="inlineStr">
        <is>
          <t>STOCKHOLMS LÄN</t>
        </is>
      </c>
      <c r="E8" t="inlineStr">
        <is>
          <t>VÄRMDÖ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Skogsknipprot
Vanlig groda</t>
        </is>
      </c>
      <c r="S8">
        <f>HYPERLINK("https://klasma.github.io/Logging_0120/artfynd/A 6412-2024 artfynd.xlsx", "A 6412-2024")</f>
        <v/>
      </c>
      <c r="T8">
        <f>HYPERLINK("https://klasma.github.io/Logging_0120/kartor/A 6412-2024 karta.png", "A 6412-2024")</f>
        <v/>
      </c>
      <c r="V8">
        <f>HYPERLINK("https://klasma.github.io/Logging_0120/klagomål/A 6412-2024 FSC-klagomål.docx", "A 6412-2024")</f>
        <v/>
      </c>
      <c r="W8">
        <f>HYPERLINK("https://klasma.github.io/Logging_0120/klagomålsmail/A 6412-2024 FSC-klagomål mail.docx", "A 6412-2024")</f>
        <v/>
      </c>
      <c r="X8">
        <f>HYPERLINK("https://klasma.github.io/Logging_0120/tillsyn/A 6412-2024 tillsynsbegäran.docx", "A 6412-2024")</f>
        <v/>
      </c>
      <c r="Y8">
        <f>HYPERLINK("https://klasma.github.io/Logging_0120/tillsynsmail/A 6412-2024 tillsynsbegäran mail.docx", "A 6412-2024")</f>
        <v/>
      </c>
    </row>
    <row r="9" ht="15" customHeight="1">
      <c r="A9" t="inlineStr">
        <is>
          <t>A 72108-2021</t>
        </is>
      </c>
      <c r="B9" s="1" t="n">
        <v>44544</v>
      </c>
      <c r="C9" s="1" t="n">
        <v>46196</v>
      </c>
      <c r="D9" t="inlineStr">
        <is>
          <t>STOCKHOLMS LÄN</t>
        </is>
      </c>
      <c r="E9" t="inlineStr">
        <is>
          <t>VÄRMDÖ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Jungfrulin</t>
        </is>
      </c>
      <c r="S9">
        <f>HYPERLINK("https://klasma.github.io/Logging_0120/artfynd/A 72108-2021 artfynd.xlsx", "A 72108-2021")</f>
        <v/>
      </c>
      <c r="T9">
        <f>HYPERLINK("https://klasma.github.io/Logging_0120/kartor/A 72108-2021 karta.png", "A 72108-2021")</f>
        <v/>
      </c>
      <c r="V9">
        <f>HYPERLINK("https://klasma.github.io/Logging_0120/klagomål/A 72108-2021 FSC-klagomål.docx", "A 72108-2021")</f>
        <v/>
      </c>
      <c r="W9">
        <f>HYPERLINK("https://klasma.github.io/Logging_0120/klagomålsmail/A 72108-2021 FSC-klagomål mail.docx", "A 72108-2021")</f>
        <v/>
      </c>
      <c r="X9">
        <f>HYPERLINK("https://klasma.github.io/Logging_0120/tillsyn/A 72108-2021 tillsynsbegäran.docx", "A 72108-2021")</f>
        <v/>
      </c>
      <c r="Y9">
        <f>HYPERLINK("https://klasma.github.io/Logging_0120/tillsynsmail/A 72108-2021 tillsynsbegäran mail.docx", "A 72108-2021")</f>
        <v/>
      </c>
    </row>
    <row r="10" ht="15" customHeight="1">
      <c r="A10" t="inlineStr">
        <is>
          <t>A 39073-2021</t>
        </is>
      </c>
      <c r="B10" s="1" t="n">
        <v>44412</v>
      </c>
      <c r="C10" s="1" t="n">
        <v>46196</v>
      </c>
      <c r="D10" t="inlineStr">
        <is>
          <t>STOCKHOLMS LÄN</t>
        </is>
      </c>
      <c r="E10" t="inlineStr">
        <is>
          <t>VÄRMDÖ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Trana</t>
        </is>
      </c>
      <c r="S10">
        <f>HYPERLINK("https://klasma.github.io/Logging_0120/artfynd/A 39073-2021 artfynd.xlsx", "A 39073-2021")</f>
        <v/>
      </c>
      <c r="T10">
        <f>HYPERLINK("https://klasma.github.io/Logging_0120/kartor/A 39073-2021 karta.png", "A 39073-2021")</f>
        <v/>
      </c>
      <c r="V10">
        <f>HYPERLINK("https://klasma.github.io/Logging_0120/klagomål/A 39073-2021 FSC-klagomål.docx", "A 39073-2021")</f>
        <v/>
      </c>
      <c r="W10">
        <f>HYPERLINK("https://klasma.github.io/Logging_0120/klagomålsmail/A 39073-2021 FSC-klagomål mail.docx", "A 39073-2021")</f>
        <v/>
      </c>
      <c r="X10">
        <f>HYPERLINK("https://klasma.github.io/Logging_0120/tillsyn/A 39073-2021 tillsynsbegäran.docx", "A 39073-2021")</f>
        <v/>
      </c>
      <c r="Y10">
        <f>HYPERLINK("https://klasma.github.io/Logging_0120/tillsynsmail/A 39073-2021 tillsynsbegäran mail.docx", "A 39073-2021")</f>
        <v/>
      </c>
      <c r="Z10">
        <f>HYPERLINK("https://klasma.github.io/Logging_0120/fåglar/A 39073-2021 prioriterade fågelarter.docx", "A 39073-2021")</f>
        <v/>
      </c>
    </row>
    <row r="11" ht="15" customHeight="1">
      <c r="A11" t="inlineStr">
        <is>
          <t>A 71315-2021</t>
        </is>
      </c>
      <c r="B11" s="1" t="n">
        <v>44539</v>
      </c>
      <c r="C11" s="1" t="n">
        <v>46196</v>
      </c>
      <c r="D11" t="inlineStr">
        <is>
          <t>STOCKHOLMS LÄN</t>
        </is>
      </c>
      <c r="E11" t="inlineStr">
        <is>
          <t>VÄRMDÖ</t>
        </is>
      </c>
      <c r="F11" t="inlineStr">
        <is>
          <t>Övriga Aktiebolag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Sårläka</t>
        </is>
      </c>
      <c r="S11">
        <f>HYPERLINK("https://klasma.github.io/Logging_0120/artfynd/A 71315-2021 artfynd.xlsx", "A 71315-2021")</f>
        <v/>
      </c>
      <c r="T11">
        <f>HYPERLINK("https://klasma.github.io/Logging_0120/kartor/A 71315-2021 karta.png", "A 71315-2021")</f>
        <v/>
      </c>
      <c r="V11">
        <f>HYPERLINK("https://klasma.github.io/Logging_0120/klagomål/A 71315-2021 FSC-klagomål.docx", "A 71315-2021")</f>
        <v/>
      </c>
      <c r="W11">
        <f>HYPERLINK("https://klasma.github.io/Logging_0120/klagomålsmail/A 71315-2021 FSC-klagomål mail.docx", "A 71315-2021")</f>
        <v/>
      </c>
      <c r="X11">
        <f>HYPERLINK("https://klasma.github.io/Logging_0120/tillsyn/A 71315-2021 tillsynsbegäran.docx", "A 71315-2021")</f>
        <v/>
      </c>
      <c r="Y11">
        <f>HYPERLINK("https://klasma.github.io/Logging_0120/tillsynsmail/A 71315-2021 tillsynsbegäran mail.docx", "A 71315-2021")</f>
        <v/>
      </c>
    </row>
    <row r="12" ht="15" customHeight="1">
      <c r="A12" t="inlineStr">
        <is>
          <t>A 20373-2025</t>
        </is>
      </c>
      <c r="B12" s="1" t="n">
        <v>45775</v>
      </c>
      <c r="C12" s="1" t="n">
        <v>46196</v>
      </c>
      <c r="D12" t="inlineStr">
        <is>
          <t>STOCKHOLMS LÄN</t>
        </is>
      </c>
      <c r="E12" t="inlineStr">
        <is>
          <t>VÄRMDÖ</t>
        </is>
      </c>
      <c r="G12" t="n">
        <v>0.5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Igelkott</t>
        </is>
      </c>
      <c r="S12">
        <f>HYPERLINK("https://klasma.github.io/Logging_0120/artfynd/A 20373-2025 artfynd.xlsx", "A 20373-2025")</f>
        <v/>
      </c>
      <c r="T12">
        <f>HYPERLINK("https://klasma.github.io/Logging_0120/kartor/A 20373-2025 karta.png", "A 20373-2025")</f>
        <v/>
      </c>
      <c r="V12">
        <f>HYPERLINK("https://klasma.github.io/Logging_0120/klagomål/A 20373-2025 FSC-klagomål.docx", "A 20373-2025")</f>
        <v/>
      </c>
      <c r="W12">
        <f>HYPERLINK("https://klasma.github.io/Logging_0120/klagomålsmail/A 20373-2025 FSC-klagomål mail.docx", "A 20373-2025")</f>
        <v/>
      </c>
      <c r="X12">
        <f>HYPERLINK("https://klasma.github.io/Logging_0120/tillsyn/A 20373-2025 tillsynsbegäran.docx", "A 20373-2025")</f>
        <v/>
      </c>
      <c r="Y12">
        <f>HYPERLINK("https://klasma.github.io/Logging_0120/tillsynsmail/A 20373-2025 tillsynsbegäran mail.docx", "A 20373-2025")</f>
        <v/>
      </c>
    </row>
    <row r="13" ht="15" customHeight="1">
      <c r="A13" t="inlineStr">
        <is>
          <t>A 31593-2025</t>
        </is>
      </c>
      <c r="B13" s="1" t="n">
        <v>45833</v>
      </c>
      <c r="C13" s="1" t="n">
        <v>46196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33046-2022</t>
        </is>
      </c>
      <c r="B14" s="1" t="n">
        <v>44785</v>
      </c>
      <c r="C14" s="1" t="n">
        <v>46196</v>
      </c>
      <c r="D14" t="inlineStr">
        <is>
          <t>STOCKHOLMS LÄN</t>
        </is>
      </c>
      <c r="E14" t="inlineStr">
        <is>
          <t>VÄRMDÖ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HYPERLINK("https://klasma.github.io/Logging_0120/artfynd/A 33046-2022 artfynd.xlsx", "A 33046-2022")</f>
        <v/>
      </c>
      <c r="T14">
        <f>HYPERLINK("https://klasma.github.io/Logging_0120/kartor/A 33046-2022 karta.png", "A 33046-2022")</f>
        <v/>
      </c>
      <c r="V14">
        <f>HYPERLINK("https://klasma.github.io/Logging_0120/klagomål/A 33046-2022 FSC-klagomål.docx", "A 33046-2022")</f>
        <v/>
      </c>
      <c r="W14">
        <f>HYPERLINK("https://klasma.github.io/Logging_0120/klagomålsmail/A 33046-2022 FSC-klagomål mail.docx", "A 33046-2022")</f>
        <v/>
      </c>
      <c r="X14">
        <f>HYPERLINK("https://klasma.github.io/Logging_0120/tillsyn/A 33046-2022 tillsynsbegäran.docx", "A 33046-2022")</f>
        <v/>
      </c>
      <c r="Y14">
        <f>HYPERLINK("https://klasma.github.io/Logging_0120/tillsynsmail/A 33046-2022 tillsynsbegäran mail.docx", "A 33046-2022")</f>
        <v/>
      </c>
      <c r="Z14">
        <f>HYPERLINK("https://klasma.github.io/Logging_0120/fåglar/A 33046-2022 prioriterade fågelarter.docx", "A 33046-2022")</f>
        <v/>
      </c>
    </row>
    <row r="15" ht="15" customHeight="1">
      <c r="A15" t="inlineStr">
        <is>
          <t>A 54056-2022</t>
        </is>
      </c>
      <c r="B15" s="1" t="n">
        <v>44876</v>
      </c>
      <c r="C15" s="1" t="n">
        <v>46196</v>
      </c>
      <c r="D15" t="inlineStr">
        <is>
          <t>STOCKHOLMS LÄN</t>
        </is>
      </c>
      <c r="E15" t="inlineStr">
        <is>
          <t>VÄRMDÖ</t>
        </is>
      </c>
      <c r="F15" t="inlineStr">
        <is>
          <t>Kommuner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54056-2022 artfynd.xlsx", "A 54056-2022")</f>
        <v/>
      </c>
      <c r="T15">
        <f>HYPERLINK("https://klasma.github.io/Logging_0120/kartor/A 54056-2022 karta.png", "A 54056-2022")</f>
        <v/>
      </c>
      <c r="V15">
        <f>HYPERLINK("https://klasma.github.io/Logging_0120/klagomål/A 54056-2022 FSC-klagomål.docx", "A 54056-2022")</f>
        <v/>
      </c>
      <c r="W15">
        <f>HYPERLINK("https://klasma.github.io/Logging_0120/klagomålsmail/A 54056-2022 FSC-klagomål mail.docx", "A 54056-2022")</f>
        <v/>
      </c>
      <c r="X15">
        <f>HYPERLINK("https://klasma.github.io/Logging_0120/tillsyn/A 54056-2022 tillsynsbegäran.docx", "A 54056-2022")</f>
        <v/>
      </c>
      <c r="Y15">
        <f>HYPERLINK("https://klasma.github.io/Logging_0120/tillsynsmail/A 54056-2022 tillsynsbegäran mail.docx", "A 54056-2022")</f>
        <v/>
      </c>
    </row>
    <row r="16" ht="15" customHeight="1">
      <c r="A16" t="inlineStr">
        <is>
          <t>A 30154-2022</t>
        </is>
      </c>
      <c r="B16" s="1" t="n">
        <v>44757</v>
      </c>
      <c r="C16" s="1" t="n">
        <v>46196</v>
      </c>
      <c r="D16" t="inlineStr">
        <is>
          <t>STOCKHOLMS LÄN</t>
        </is>
      </c>
      <c r="E16" t="inlineStr">
        <is>
          <t>VÄRMDÖ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HYPERLINK("https://klasma.github.io/Logging_0120/artfynd/A 30154-2022 artfynd.xlsx", "A 30154-2022")</f>
        <v/>
      </c>
      <c r="T16">
        <f>HYPERLINK("https://klasma.github.io/Logging_0120/kartor/A 30154-2022 karta.png", "A 30154-2022")</f>
        <v/>
      </c>
      <c r="V16">
        <f>HYPERLINK("https://klasma.github.io/Logging_0120/klagomål/A 30154-2022 FSC-klagomål.docx", "A 30154-2022")</f>
        <v/>
      </c>
      <c r="W16">
        <f>HYPERLINK("https://klasma.github.io/Logging_0120/klagomålsmail/A 30154-2022 FSC-klagomål mail.docx", "A 30154-2022")</f>
        <v/>
      </c>
      <c r="X16">
        <f>HYPERLINK("https://klasma.github.io/Logging_0120/tillsyn/A 30154-2022 tillsynsbegäran.docx", "A 30154-2022")</f>
        <v/>
      </c>
      <c r="Y16">
        <f>HYPERLINK("https://klasma.github.io/Logging_0120/tillsynsmail/A 30154-2022 tillsynsbegäran mail.docx", "A 30154-2022")</f>
        <v/>
      </c>
    </row>
    <row r="17" ht="15" customHeight="1">
      <c r="A17" t="inlineStr">
        <is>
          <t>A 49123-2021</t>
        </is>
      </c>
      <c r="B17" s="1" t="n">
        <v>44453</v>
      </c>
      <c r="C17" s="1" t="n">
        <v>46196</v>
      </c>
      <c r="D17" t="inlineStr">
        <is>
          <t>STOCKHOLMS LÄN</t>
        </is>
      </c>
      <c r="E17" t="inlineStr">
        <is>
          <t>VÄRMDÖ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71317-2021</t>
        </is>
      </c>
      <c r="B18" s="1" t="n">
        <v>44539</v>
      </c>
      <c r="C18" s="1" t="n">
        <v>46196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71318-2021</t>
        </is>
      </c>
      <c r="B19" s="1" t="n">
        <v>44539</v>
      </c>
      <c r="C19" s="1" t="n">
        <v>46196</v>
      </c>
      <c r="D19" t="inlineStr">
        <is>
          <t>STOCKHOLMS LÄN</t>
        </is>
      </c>
      <c r="E19" t="inlineStr">
        <is>
          <t>VÄRMDÖ</t>
        </is>
      </c>
      <c r="F19" t="inlineStr">
        <is>
          <t>Övriga Aktiebolag</t>
        </is>
      </c>
      <c r="G19" t="n">
        <v>9.1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20641-2022</t>
        </is>
      </c>
      <c r="B20" s="1" t="n">
        <v>44700</v>
      </c>
      <c r="C20" s="1" t="n">
        <v>46196</v>
      </c>
      <c r="D20" t="inlineStr">
        <is>
          <t>STOCKHOLMS LÄN</t>
        </is>
      </c>
      <c r="E20" t="inlineStr">
        <is>
          <t>VÄRMDÖ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72097-2021</t>
        </is>
      </c>
      <c r="B21" s="1" t="n">
        <v>44544</v>
      </c>
      <c r="C21" s="1" t="n">
        <v>46196</v>
      </c>
      <c r="D21" t="inlineStr">
        <is>
          <t>STOCKHOLMS LÄN</t>
        </is>
      </c>
      <c r="E21" t="inlineStr">
        <is>
          <t>VÄRMDÖ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3057-2022</t>
        </is>
      </c>
      <c r="B22" s="1" t="n">
        <v>44582</v>
      </c>
      <c r="C22" s="1" t="n">
        <v>46196</v>
      </c>
      <c r="D22" t="inlineStr">
        <is>
          <t>STOCKHOLMS LÄN</t>
        </is>
      </c>
      <c r="E22" t="inlineStr">
        <is>
          <t>VÄRMDÖ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9966-2024</t>
        </is>
      </c>
      <c r="B23" s="1" t="n">
        <v>45363</v>
      </c>
      <c r="C23" s="1" t="n">
        <v>46196</v>
      </c>
      <c r="D23" t="inlineStr">
        <is>
          <t>STOCKHOLMS LÄN</t>
        </is>
      </c>
      <c r="E23" t="inlineStr">
        <is>
          <t>VÄRMDÖ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32286-2023</t>
        </is>
      </c>
      <c r="B24" s="1" t="n">
        <v>45120</v>
      </c>
      <c r="C24" s="1" t="n">
        <v>46196</v>
      </c>
      <c r="D24" t="inlineStr">
        <is>
          <t>STOCKHOLMS LÄN</t>
        </is>
      </c>
      <c r="E24" t="inlineStr">
        <is>
          <t>VÄRMDÖ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32230-2025</t>
        </is>
      </c>
      <c r="B25" s="1" t="n">
        <v>45835</v>
      </c>
      <c r="C25" s="1" t="n">
        <v>46196</v>
      </c>
      <c r="D25" t="inlineStr">
        <is>
          <t>STOCKHOLMS LÄN</t>
        </is>
      </c>
      <c r="E25" t="inlineStr">
        <is>
          <t>VÄRMDÖ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6894-2026</t>
        </is>
      </c>
      <c r="B26" s="1" t="n">
        <v>46057</v>
      </c>
      <c r="C26" s="1" t="n">
        <v>46196</v>
      </c>
      <c r="D26" t="inlineStr">
        <is>
          <t>STOCKHOLMS LÄN</t>
        </is>
      </c>
      <c r="E26" t="inlineStr">
        <is>
          <t>VÄRMDÖ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32458-2023</t>
        </is>
      </c>
      <c r="B27" s="1" t="n">
        <v>45120</v>
      </c>
      <c r="C27" s="1" t="n">
        <v>46196</v>
      </c>
      <c r="D27" t="inlineStr">
        <is>
          <t>STOCKHOLMS LÄN</t>
        </is>
      </c>
      <c r="E27" t="inlineStr">
        <is>
          <t>VÄRMDÖ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36148-2023</t>
        </is>
      </c>
      <c r="B28" s="1" t="n">
        <v>45149</v>
      </c>
      <c r="C28" s="1" t="n">
        <v>46196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24798-2026</t>
        </is>
      </c>
      <c r="B29" s="1" t="n">
        <v>46171</v>
      </c>
      <c r="C29" s="1" t="n">
        <v>46196</v>
      </c>
      <c r="D29" t="inlineStr">
        <is>
          <t>STOCKHOLMS LÄN</t>
        </is>
      </c>
      <c r="E29" t="inlineStr">
        <is>
          <t>VÄRMDÖ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24622-2026</t>
        </is>
      </c>
      <c r="B30" s="1" t="n">
        <v>46171</v>
      </c>
      <c r="C30" s="1" t="n">
        <v>46196</v>
      </c>
      <c r="D30" t="inlineStr">
        <is>
          <t>STOCKHOLMS LÄN</t>
        </is>
      </c>
      <c r="E30" t="inlineStr">
        <is>
          <t>VÄRMDÖ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17086-2025</t>
        </is>
      </c>
      <c r="B31" s="1" t="n">
        <v>45754</v>
      </c>
      <c r="C31" s="1" t="n">
        <v>46196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33958-2023</t>
        </is>
      </c>
      <c r="B32" s="1" t="n">
        <v>45124</v>
      </c>
      <c r="C32" s="1" t="n">
        <v>46196</v>
      </c>
      <c r="D32" t="inlineStr">
        <is>
          <t>STOCKHOLMS LÄN</t>
        </is>
      </c>
      <c r="E32" t="inlineStr">
        <is>
          <t>VÄRMDÖ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17624-2024</t>
        </is>
      </c>
      <c r="B33" s="1" t="n">
        <v>45417</v>
      </c>
      <c r="C33" s="1" t="n">
        <v>46196</v>
      </c>
      <c r="D33" t="inlineStr">
        <is>
          <t>STOCKHOLMS LÄN</t>
        </is>
      </c>
      <c r="E33" t="inlineStr">
        <is>
          <t>VÄRMDÖ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39082-2021</t>
        </is>
      </c>
      <c r="B34" s="1" t="n">
        <v>44412</v>
      </c>
      <c r="C34" s="1" t="n">
        <v>46196</v>
      </c>
      <c r="D34" t="inlineStr">
        <is>
          <t>STOCKHOLMS LÄN</t>
        </is>
      </c>
      <c r="E34" t="inlineStr">
        <is>
          <t>VÄRMDÖ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49568-2024</t>
        </is>
      </c>
      <c r="B35" s="1" t="n">
        <v>45596</v>
      </c>
      <c r="C35" s="1" t="n">
        <v>46196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28590-2024</t>
        </is>
      </c>
      <c r="B36" s="1" t="n">
        <v>45478</v>
      </c>
      <c r="C36" s="1" t="n">
        <v>46196</v>
      </c>
      <c r="D36" t="inlineStr">
        <is>
          <t>STOCKHOLMS LÄN</t>
        </is>
      </c>
      <c r="E36" t="inlineStr">
        <is>
          <t>VÄRMDÖ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2240-2023</t>
        </is>
      </c>
      <c r="B37" s="1" t="n">
        <v>44938</v>
      </c>
      <c r="C37" s="1" t="n">
        <v>46196</v>
      </c>
      <c r="D37" t="inlineStr">
        <is>
          <t>STOCKHOLMS LÄN</t>
        </is>
      </c>
      <c r="E37" t="inlineStr">
        <is>
          <t>VÄRMDÖ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8756-2023</t>
        </is>
      </c>
      <c r="B38" s="1" t="n">
        <v>44972</v>
      </c>
      <c r="C38" s="1" t="n">
        <v>46196</v>
      </c>
      <c r="D38" t="inlineStr">
        <is>
          <t>STOCKHOLMS LÄN</t>
        </is>
      </c>
      <c r="E38" t="inlineStr">
        <is>
          <t>VÄRMDÖ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30002-2023</t>
        </is>
      </c>
      <c r="B39" s="1" t="n">
        <v>45109</v>
      </c>
      <c r="C39" s="1" t="n">
        <v>46196</v>
      </c>
      <c r="D39" t="inlineStr">
        <is>
          <t>STOCKHOLMS LÄN</t>
        </is>
      </c>
      <c r="E39" t="inlineStr">
        <is>
          <t>VÄRMDÖ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17623-2024</t>
        </is>
      </c>
      <c r="B40" s="1" t="n">
        <v>45417</v>
      </c>
      <c r="C40" s="1" t="n">
        <v>46196</v>
      </c>
      <c r="D40" t="inlineStr">
        <is>
          <t>STOCKHOLMS LÄN</t>
        </is>
      </c>
      <c r="E40" t="inlineStr">
        <is>
          <t>VÄRMDÖ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33061-2024</t>
        </is>
      </c>
      <c r="B41" s="1" t="n">
        <v>45517</v>
      </c>
      <c r="C41" s="1" t="n">
        <v>46196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20053-2023</t>
        </is>
      </c>
      <c r="B42" s="1" t="n">
        <v>45054</v>
      </c>
      <c r="C42" s="1" t="n">
        <v>46196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Aktiebolag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114-2023</t>
        </is>
      </c>
      <c r="B43" s="1" t="n">
        <v>44918</v>
      </c>
      <c r="C43" s="1" t="n">
        <v>46196</v>
      </c>
      <c r="D43" t="inlineStr">
        <is>
          <t>STOCKHOLMS LÄN</t>
        </is>
      </c>
      <c r="E43" t="inlineStr">
        <is>
          <t>VÄRMDÖ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3827-2022</t>
        </is>
      </c>
      <c r="B44" s="1" t="n">
        <v>44587</v>
      </c>
      <c r="C44" s="1" t="n">
        <v>46196</v>
      </c>
      <c r="D44" t="inlineStr">
        <is>
          <t>STOCKHOLMS LÄN</t>
        </is>
      </c>
      <c r="E44" t="inlineStr">
        <is>
          <t>VÄRMDÖ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2026-06-23T04:34:32Z</dcterms:created>
  <dcterms:modified xmlns:dcterms="http://purl.org/dc/terms/" xmlns:xsi="http://www.w3.org/2001/XMLSchema-instance" xsi:type="dcterms:W3CDTF">2026-06-23T04:34:32Z</dcterms:modified>
</cp:coreProperties>
</file>