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46222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s="2" t="inlineStr">
        <is>
          <t>Knärot
Reliktbock
Sårläka
Tallticka
Talltita
Björksplintborre
Bronshjon
Granbarkgnagare
Thomsons trägnagare
Trådticka
Blåsippa
Spillkråka</t>
        </is>
      </c>
      <c r="V2">
        <f>HYPERLINK("https://klasma.github.io/Logging_0120/artfynd/A 46004-2023 artfynd.xlsx", "A 46004-2023")</f>
        <v/>
      </c>
      <c r="W2">
        <f>HYPERLINK("https://klasma.github.io/Logging_0120/kartor/A 46004-2023 karta.png", "A 46004-2023")</f>
        <v/>
      </c>
      <c r="X2">
        <f>HYPERLINK("https://klasma.github.io/Logging_0120/knärot/A 46004-2023 karta knärot.png", "A 46004-2023")</f>
        <v/>
      </c>
      <c r="Y2">
        <f>HYPERLINK("https://klasma.github.io/Logging_0120/klagomål/A 46004-2023 FSC-klagomål.docx", "A 46004-2023")</f>
        <v/>
      </c>
      <c r="Z2">
        <f>HYPERLINK("https://klasma.github.io/Logging_0120/klagomålsmail/A 46004-2023 FSC-klagomål mail.docx", "A 46004-2023")</f>
        <v/>
      </c>
      <c r="AA2">
        <f>HYPERLINK("https://klasma.github.io/Logging_0120/tillsyn/A 46004-2023 tillsynsbegäran.docx", "A 46004-2023")</f>
        <v/>
      </c>
      <c r="AB2">
        <f>HYPERLINK("https://klasma.github.io/Logging_0120/tillsynsmail/A 46004-2023 tillsynsbegäran mail.docx", "A 46004-2023")</f>
        <v/>
      </c>
      <c r="AC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46222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s="2" t="inlineStr">
        <is>
          <t>Blylav
Klosterlav
Mörk kraterlav
Lunglav
Sårläka
Vårärt
Strävlosta
Svart trolldruva
Tibast</t>
        </is>
      </c>
      <c r="V3">
        <f>HYPERLINK("https://klasma.github.io/Logging_0120/artfynd/A 23767-2026 artfynd.xlsx", "A 23767-2026")</f>
        <v/>
      </c>
      <c r="W3">
        <f>HYPERLINK("https://klasma.github.io/Logging_0120/kartor/A 23767-2026 karta.png", "A 23767-2026")</f>
        <v/>
      </c>
      <c r="Y3">
        <f>HYPERLINK("https://klasma.github.io/Logging_0120/klagomål/A 23767-2026 FSC-klagomål.docx", "A 23767-2026")</f>
        <v/>
      </c>
      <c r="Z3">
        <f>HYPERLINK("https://klasma.github.io/Logging_0120/klagomålsmail/A 23767-2026 FSC-klagomål mail.docx", "A 23767-2026")</f>
        <v/>
      </c>
      <c r="AA3">
        <f>HYPERLINK("https://klasma.github.io/Logging_0120/tillsyn/A 23767-2026 tillsynsbegäran.docx", "A 23767-2026")</f>
        <v/>
      </c>
      <c r="AB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46222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s="2" t="inlineStr">
        <is>
          <t>Blodvaxing
Luktvaxing
Toppvaxing
Vitvaxing agg.</t>
        </is>
      </c>
      <c r="V4">
        <f>HYPERLINK("https://klasma.github.io/Logging_0120/artfynd/A 72176-2021 artfynd.xlsx", "A 72176-2021")</f>
        <v/>
      </c>
      <c r="W4">
        <f>HYPERLINK("https://klasma.github.io/Logging_0120/kartor/A 72176-2021 karta.png", "A 72176-2021")</f>
        <v/>
      </c>
      <c r="Y4">
        <f>HYPERLINK("https://klasma.github.io/Logging_0120/klagomål/A 72176-2021 FSC-klagomål.docx", "A 72176-2021")</f>
        <v/>
      </c>
      <c r="Z4">
        <f>HYPERLINK("https://klasma.github.io/Logging_0120/klagomålsmail/A 72176-2021 FSC-klagomål mail.docx", "A 72176-2021")</f>
        <v/>
      </c>
      <c r="AA4">
        <f>HYPERLINK("https://klasma.github.io/Logging_0120/tillsyn/A 72176-2021 tillsynsbegäran.docx", "A 72176-2021")</f>
        <v/>
      </c>
      <c r="AB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46222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s="2" t="inlineStr">
        <is>
          <t>Ruttaggsvamp
Svartvit taggsvamp
Tallticka
Stor aspticka</t>
        </is>
      </c>
      <c r="V5">
        <f>HYPERLINK("https://klasma.github.io/Logging_0120/artfynd/A 48658-2022 artfynd.xlsx", "A 48658-2022")</f>
        <v/>
      </c>
      <c r="W5">
        <f>HYPERLINK("https://klasma.github.io/Logging_0120/kartor/A 48658-2022 karta.png", "A 48658-2022")</f>
        <v/>
      </c>
      <c r="Y5">
        <f>HYPERLINK("https://klasma.github.io/Logging_0120/klagomål/A 48658-2022 FSC-klagomål.docx", "A 48658-2022")</f>
        <v/>
      </c>
      <c r="Z5">
        <f>HYPERLINK("https://klasma.github.io/Logging_0120/klagomålsmail/A 48658-2022 FSC-klagomål mail.docx", "A 48658-2022")</f>
        <v/>
      </c>
      <c r="AA5">
        <f>HYPERLINK("https://klasma.github.io/Logging_0120/tillsyn/A 48658-2022 tillsynsbegäran.docx", "A 48658-2022")</f>
        <v/>
      </c>
      <c r="AB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46222</v>
      </c>
      <c r="F6" t="inlineStr">
        <is>
          <t>STOCKHOLMS LÄN</t>
        </is>
      </c>
      <c r="G6" t="inlineStr">
        <is>
          <t>VÄRMDÖ</t>
        </is>
      </c>
      <c r="I6" t="n">
        <v>2.3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s="2" t="inlineStr">
        <is>
          <t>Klofibbla
Sårläka
Nästrot</t>
        </is>
      </c>
      <c r="V6">
        <f>HYPERLINK("https://klasma.github.io/Logging_0120/artfynd/A 31577-2025 artfynd.xlsx", "A 31577-2025")</f>
        <v/>
      </c>
      <c r="W6">
        <f>HYPERLINK("https://klasma.github.io/Logging_0120/kartor/A 31577-2025 karta.png", "A 31577-2025")</f>
        <v/>
      </c>
      <c r="Y6">
        <f>HYPERLINK("https://klasma.github.io/Logging_0120/klagomål/A 31577-2025 FSC-klagomål.docx", "A 31577-2025")</f>
        <v/>
      </c>
      <c r="Z6">
        <f>HYPERLINK("https://klasma.github.io/Logging_0120/klagomålsmail/A 31577-2025 FSC-klagomål mail.docx", "A 31577-2025")</f>
        <v/>
      </c>
      <c r="AA6">
        <f>HYPERLINK("https://klasma.github.io/Logging_0120/tillsyn/A 31577-2025 tillsynsbegäran.docx", "A 31577-2025")</f>
        <v/>
      </c>
      <c r="AB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45126</v>
      </c>
      <c r="E7" s="1" t="n">
        <v>46222</v>
      </c>
      <c r="F7" t="inlineStr">
        <is>
          <t>STOCKHOLMS LÄN</t>
        </is>
      </c>
      <c r="G7" t="inlineStr">
        <is>
          <t>VÄRMDÖ</t>
        </is>
      </c>
      <c r="I7" t="n">
        <v>3.8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s="2" t="inlineStr">
        <is>
          <t>Gullklöver
Jungfrulin
Vippärt</t>
        </is>
      </c>
      <c r="V7">
        <f>HYPERLINK("https://klasma.github.io/Logging_0120/artfynd/A 33166-2023 artfynd.xlsx", "A 33166-2023")</f>
        <v/>
      </c>
      <c r="W7">
        <f>HYPERLINK("https://klasma.github.io/Logging_0120/kartor/A 33166-2023 karta.png", "A 33166-2023")</f>
        <v/>
      </c>
      <c r="Y7">
        <f>HYPERLINK("https://klasma.github.io/Logging_0120/klagomål/A 33166-2023 FSC-klagomål.docx", "A 33166-2023")</f>
        <v/>
      </c>
      <c r="Z7">
        <f>HYPERLINK("https://klasma.github.io/Logging_0120/klagomålsmail/A 33166-2023 FSC-klagomål mail.docx", "A 33166-2023")</f>
        <v/>
      </c>
      <c r="AA7">
        <f>HYPERLINK("https://klasma.github.io/Logging_0120/tillsyn/A 33166-2023 tillsynsbegäran.docx", "A 33166-2023")</f>
        <v/>
      </c>
      <c r="AB7">
        <f>HYPERLINK("https://klasma.github.io/Logging_0120/tillsynsmail/A 33166-2023 tillsynsbegäran mail.docx", "A 33166-2023")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46222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Mindre hackspett
Sårläka</t>
        </is>
      </c>
      <c r="V8">
        <f>HYPERLINK("https://klasma.github.io/Logging_0120/artfynd/A 71315-2021 artfynd.xlsx", "A 71315-2021")</f>
        <v/>
      </c>
      <c r="W8">
        <f>HYPERLINK("https://klasma.github.io/Logging_0120/kartor/A 71315-2021 karta.png", "A 71315-2021")</f>
        <v/>
      </c>
      <c r="Y8">
        <f>HYPERLINK("https://klasma.github.io/Logging_0120/klagomål/A 71315-2021 FSC-klagomål.docx", "A 71315-2021")</f>
        <v/>
      </c>
      <c r="Z8">
        <f>HYPERLINK("https://klasma.github.io/Logging_0120/klagomålsmail/A 71315-2021 FSC-klagomål mail.docx", "A 71315-2021")</f>
        <v/>
      </c>
      <c r="AA8">
        <f>HYPERLINK("https://klasma.github.io/Logging_0120/tillsyn/A 71315-2021 tillsynsbegäran.docx", "A 71315-2021")</f>
        <v/>
      </c>
      <c r="AB8">
        <f>HYPERLINK("https://klasma.github.io/Logging_0120/tillsynsmail/A 71315-2021 tillsynsbegäran mail.docx", "A 71315-2021")</f>
        <v/>
      </c>
      <c r="AC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46222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s="2" t="inlineStr">
        <is>
          <t>Ask
Vippärt</t>
        </is>
      </c>
      <c r="V9">
        <f>HYPERLINK("https://klasma.github.io/Logging_0120/artfynd/S 403-2021 artfynd.xlsx", "S 403-2021")</f>
        <v/>
      </c>
      <c r="W9">
        <f>HYPERLINK("https://klasma.github.io/Logging_0120/kartor/S 403-2021 karta.png", "S 403-2021")</f>
        <v/>
      </c>
      <c r="Y9">
        <f>HYPERLINK("https://klasma.github.io/Logging_0120/klagomål/S 403-2021 FSC-klagomål.docx", "S 403-2021")</f>
        <v/>
      </c>
      <c r="Z9">
        <f>HYPERLINK("https://klasma.github.io/Logging_0120/klagomålsmail/S 403-2021 FSC-klagomål mail.docx", "S 403-2021")</f>
        <v/>
      </c>
      <c r="AA9">
        <f>HYPERLINK("https://klasma.github.io/Logging_0120/tillsyn/S 403-2021 tillsynsbegäran.docx", "S 403-2021")</f>
        <v/>
      </c>
      <c r="AB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46222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Åderskölding
Revlummer</t>
        </is>
      </c>
      <c r="V10">
        <f>HYPERLINK("https://klasma.github.io/Logging_0120/artfynd/S 1959-2026 artfynd.xlsx", "S 1959-2026")</f>
        <v/>
      </c>
      <c r="W10">
        <f>HYPERLINK("https://klasma.github.io/Logging_0120/kartor/S 1959-2026 karta.png", "S 1959-2026")</f>
        <v/>
      </c>
      <c r="Y10">
        <f>HYPERLINK("https://klasma.github.io/Logging_0120/klagomål/S 1959-2026 FSC-klagomål.docx", "S 1959-2026")</f>
        <v/>
      </c>
      <c r="Z10">
        <f>HYPERLINK("https://klasma.github.io/Logging_0120/klagomålsmail/S 1959-2026 FSC-klagomål mail.docx", "S 1959-2026")</f>
        <v/>
      </c>
      <c r="AA10">
        <f>HYPERLINK("https://klasma.github.io/Logging_0120/tillsyn/S 1959-2026 tillsynsbegäran.docx", "S 1959-2026")</f>
        <v/>
      </c>
      <c r="AB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46222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Jungfrulin</t>
        </is>
      </c>
      <c r="V11">
        <f>HYPERLINK("https://klasma.github.io/Logging_0120/artfynd/A 72108-2021 artfynd.xlsx", "A 72108-2021")</f>
        <v/>
      </c>
      <c r="W11">
        <f>HYPERLINK("https://klasma.github.io/Logging_0120/kartor/A 72108-2021 karta.png", "A 72108-2021")</f>
        <v/>
      </c>
      <c r="Y11">
        <f>HYPERLINK("https://klasma.github.io/Logging_0120/klagomål/A 72108-2021 FSC-klagomål.docx", "A 72108-2021")</f>
        <v/>
      </c>
      <c r="Z11">
        <f>HYPERLINK("https://klasma.github.io/Logging_0120/klagomålsmail/A 72108-2021 FSC-klagomål mail.docx", "A 72108-2021")</f>
        <v/>
      </c>
      <c r="AA11">
        <f>HYPERLINK("https://klasma.github.io/Logging_0120/tillsyn/A 72108-2021 tillsynsbegäran.docx", "A 72108-2021")</f>
        <v/>
      </c>
      <c r="AB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46222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Mindre hackspett</t>
        </is>
      </c>
      <c r="V12">
        <f>HYPERLINK("https://klasma.github.io/Logging_0120/artfynd/A 71317-2021 artfynd.xlsx", "A 71317-2021")</f>
        <v/>
      </c>
      <c r="W12">
        <f>HYPERLINK("https://klasma.github.io/Logging_0120/kartor/A 71317-2021 karta.png", "A 71317-2021")</f>
        <v/>
      </c>
      <c r="Y12">
        <f>HYPERLINK("https://klasma.github.io/Logging_0120/klagomål/A 71317-2021 FSC-klagomål.docx", "A 71317-2021")</f>
        <v/>
      </c>
      <c r="Z12">
        <f>HYPERLINK("https://klasma.github.io/Logging_0120/klagomålsmail/A 71317-2021 FSC-klagomål mail.docx", "A 71317-2021")</f>
        <v/>
      </c>
      <c r="AA12">
        <f>HYPERLINK("https://klasma.github.io/Logging_0120/tillsyn/A 71317-2021 tillsynsbegäran.docx", "A 71317-2021")</f>
        <v/>
      </c>
      <c r="AB12">
        <f>HYPERLINK("https://klasma.github.io/Logging_0120/tillsynsmail/A 71317-2021 tillsynsbegäran mail.docx", "A 71317-2021")</f>
        <v/>
      </c>
      <c r="AC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46222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Trana</t>
        </is>
      </c>
      <c r="V13">
        <f>HYPERLINK("https://klasma.github.io/Logging_0120/artfynd/A 39073-2021 artfynd.xlsx", "A 39073-2021")</f>
        <v/>
      </c>
      <c r="W13">
        <f>HYPERLINK("https://klasma.github.io/Logging_0120/kartor/A 39073-2021 karta.png", "A 39073-2021")</f>
        <v/>
      </c>
      <c r="Y13">
        <f>HYPERLINK("https://klasma.github.io/Logging_0120/klagomål/A 39073-2021 FSC-klagomål.docx", "A 39073-2021")</f>
        <v/>
      </c>
      <c r="Z13">
        <f>HYPERLINK("https://klasma.github.io/Logging_0120/klagomålsmail/A 39073-2021 FSC-klagomål mail.docx", "A 39073-2021")</f>
        <v/>
      </c>
      <c r="AA13">
        <f>HYPERLINK("https://klasma.github.io/Logging_0120/tillsyn/A 39073-2021 tillsynsbegäran.docx", "A 39073-2021")</f>
        <v/>
      </c>
      <c r="AB13">
        <f>HYPERLINK("https://klasma.github.io/Logging_0120/tillsynsmail/A 39073-2021 tillsynsbegäran mail.docx", "A 39073-2021")</f>
        <v/>
      </c>
      <c r="AC13">
        <f>HYPERLINK("https://klasma.github.io/Logging_0120/fåglar/A 39073-2021 prioriterade fågelarter.docx", "A 39073-2021")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46222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Tallticka</t>
        </is>
      </c>
      <c r="V14">
        <f>HYPERLINK("https://klasma.github.io/Logging_0120/artfynd/A 54056-2022 artfynd.xlsx", "A 54056-2022")</f>
        <v/>
      </c>
      <c r="W14">
        <f>HYPERLINK("https://klasma.github.io/Logging_0120/kartor/A 54056-2022 karta.png", "A 54056-2022")</f>
        <v/>
      </c>
      <c r="Y14">
        <f>HYPERLINK("https://klasma.github.io/Logging_0120/klagomål/A 54056-2022 FSC-klagomål.docx", "A 54056-2022")</f>
        <v/>
      </c>
      <c r="Z14">
        <f>HYPERLINK("https://klasma.github.io/Logging_0120/klagomålsmail/A 54056-2022 FSC-klagomål mail.docx", "A 54056-2022")</f>
        <v/>
      </c>
      <c r="AA14">
        <f>HYPERLINK("https://klasma.github.io/Logging_0120/tillsyn/A 54056-2022 tillsynsbegäran.docx", "A 54056-2022")</f>
        <v/>
      </c>
      <c r="AB14">
        <f>HYPERLINK("https://klasma.github.io/Logging_0120/tillsynsmail/A 54056-2022 tillsynsbegäran mail.docx", "A 54056-2022")</f>
        <v/>
      </c>
    </row>
    <row r="15" ht="15" customHeight="1">
      <c r="A15" t="inlineStr">
        <is>
          <t>A 33046-2022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44785</v>
      </c>
      <c r="E15" s="1" t="n">
        <v>46222</v>
      </c>
      <c r="F15" t="inlineStr">
        <is>
          <t>STOCKHOLMS LÄN</t>
        </is>
      </c>
      <c r="G15" t="inlineStr">
        <is>
          <t>VÄRMDÖ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Spillkråka</t>
        </is>
      </c>
      <c r="V15">
        <f>HYPERLINK("https://klasma.github.io/Logging_0120/artfynd/A 33046-2022 artfynd.xlsx", "A 33046-2022")</f>
        <v/>
      </c>
      <c r="W15">
        <f>HYPERLINK("https://klasma.github.io/Logging_0120/kartor/A 33046-2022 karta.png", "A 33046-2022")</f>
        <v/>
      </c>
      <c r="Y15">
        <f>HYPERLINK("https://klasma.github.io/Logging_0120/klagomål/A 33046-2022 FSC-klagomål.docx", "A 33046-2022")</f>
        <v/>
      </c>
      <c r="Z15">
        <f>HYPERLINK("https://klasma.github.io/Logging_0120/klagomålsmail/A 33046-2022 FSC-klagomål mail.docx", "A 33046-2022")</f>
        <v/>
      </c>
      <c r="AA15">
        <f>HYPERLINK("https://klasma.github.io/Logging_0120/tillsyn/A 33046-2022 tillsynsbegäran.docx", "A 33046-2022")</f>
        <v/>
      </c>
      <c r="AB15">
        <f>HYPERLINK("https://klasma.github.io/Logging_0120/tillsynsmail/A 33046-2022 tillsynsbegäran mail.docx", "A 33046-2022")</f>
        <v/>
      </c>
      <c r="AC15">
        <f>HYPERLINK("https://klasma.github.io/Logging_0120/fåglar/A 33046-2022 prioriterade fågelarter.docx", "A 33046-2022")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46222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Tallticka</t>
        </is>
      </c>
      <c r="V16">
        <f>HYPERLINK("https://klasma.github.io/Logging_0120/artfynd/A 31593-2025 artfynd.xlsx", "A 31593-2025")</f>
        <v/>
      </c>
      <c r="W16">
        <f>HYPERLINK("https://klasma.github.io/Logging_0120/kartor/A 31593-2025 karta.png", "A 31593-2025")</f>
        <v/>
      </c>
      <c r="Y16">
        <f>HYPERLINK("https://klasma.github.io/Logging_0120/klagomål/A 31593-2025 FSC-klagomål.docx", "A 31593-2025")</f>
        <v/>
      </c>
      <c r="Z16">
        <f>HYPERLINK("https://klasma.github.io/Logging_0120/klagomålsmail/A 31593-2025 FSC-klagomål mail.docx", "A 31593-2025")</f>
        <v/>
      </c>
      <c r="AA16">
        <f>HYPERLINK("https://klasma.github.io/Logging_0120/tillsyn/A 31593-2025 tillsynsbegäran.docx", "A 31593-2025")</f>
        <v/>
      </c>
      <c r="AB16">
        <f>HYPERLINK("https://klasma.github.io/Logging_0120/tillsynsmail/A 31593-2025 tillsynsbegäran mail.docx", "A 31593-2025")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46222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Lunglav</t>
        </is>
      </c>
      <c r="V17">
        <f>HYPERLINK("https://klasma.github.io/Logging_0120/artfynd/A 30154-2022 artfynd.xlsx", "A 30154-2022")</f>
        <v/>
      </c>
      <c r="W17">
        <f>HYPERLINK("https://klasma.github.io/Logging_0120/kartor/A 30154-2022 karta.png", "A 30154-2022")</f>
        <v/>
      </c>
      <c r="Y17">
        <f>HYPERLINK("https://klasma.github.io/Logging_0120/klagomål/A 30154-2022 FSC-klagomål.docx", "A 30154-2022")</f>
        <v/>
      </c>
      <c r="Z17">
        <f>HYPERLINK("https://klasma.github.io/Logging_0120/klagomålsmail/A 30154-2022 FSC-klagomål mail.docx", "A 30154-2022")</f>
        <v/>
      </c>
      <c r="AA17">
        <f>HYPERLINK("https://klasma.github.io/Logging_0120/tillsyn/A 30154-2022 tillsynsbegäran.docx", "A 30154-2022")</f>
        <v/>
      </c>
      <c r="AB17">
        <f>HYPERLINK("https://klasma.github.io/Logging_0120/tillsynsmail/A 30154-2022 tillsynsbegäran mail.docx", "A 30154-2022")</f>
        <v/>
      </c>
    </row>
    <row r="18" ht="15" customHeight="1">
      <c r="A18" t="inlineStr">
        <is>
          <t>A 20373-2025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45775</v>
      </c>
      <c r="E18" s="1" t="n">
        <v>46222</v>
      </c>
      <c r="F18" t="inlineStr">
        <is>
          <t>STOCKHOLMS LÄN</t>
        </is>
      </c>
      <c r="G18" t="inlineStr">
        <is>
          <t>VÄRMDÖ</t>
        </is>
      </c>
      <c r="I18" t="n">
        <v>0.5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Igelkott</t>
        </is>
      </c>
      <c r="V18">
        <f>HYPERLINK("https://klasma.github.io/Logging_0120/artfynd/A 20373-2025 artfynd.xlsx", "A 20373-2025")</f>
        <v/>
      </c>
      <c r="W18">
        <f>HYPERLINK("https://klasma.github.io/Logging_0120/kartor/A 20373-2025 karta.png", "A 20373-2025")</f>
        <v/>
      </c>
      <c r="Y18">
        <f>HYPERLINK("https://klasma.github.io/Logging_0120/klagomål/A 20373-2025 FSC-klagomål.docx", "A 20373-2025")</f>
        <v/>
      </c>
      <c r="Z18">
        <f>HYPERLINK("https://klasma.github.io/Logging_0120/klagomålsmail/A 20373-2025 FSC-klagomål mail.docx", "A 20373-2025")</f>
        <v/>
      </c>
      <c r="AA18">
        <f>HYPERLINK("https://klasma.github.io/Logging_0120/tillsyn/A 20373-2025 tillsynsbegäran.docx", "A 20373-2025")</f>
        <v/>
      </c>
      <c r="AB18">
        <f>HYPERLINK("https://klasma.github.io/Logging_0120/tillsynsmail/A 20373-2025 tillsynsbegäran mail.docx", "A 20373-2025")</f>
        <v/>
      </c>
    </row>
    <row r="19" ht="15" customHeight="1">
      <c r="A19" t="inlineStr">
        <is>
          <t>A 28354-2026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46195</v>
      </c>
      <c r="E19" s="1" t="n">
        <v>46222</v>
      </c>
      <c r="F19" t="inlineStr">
        <is>
          <t>STOCKHOLMS LÄN</t>
        </is>
      </c>
      <c r="G19" t="inlineStr">
        <is>
          <t>VÄRMDÖ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s="2" t="inlineStr">
        <is>
          <t>Tallticka</t>
        </is>
      </c>
      <c r="V19">
        <f>HYPERLINK("https://klasma.github.io/Logging_0120/artfynd/A 28354-2026 artfynd.xlsx", "A 28354-2026")</f>
        <v/>
      </c>
      <c r="W19">
        <f>HYPERLINK("https://klasma.github.io/Logging_0120/kartor/A 28354-2026 karta.png", "A 28354-2026")</f>
        <v/>
      </c>
      <c r="Y19">
        <f>HYPERLINK("https://klasma.github.io/Logging_0120/klagomål/A 28354-2026 FSC-klagomål.docx", "A 28354-2026")</f>
        <v/>
      </c>
      <c r="Z19">
        <f>HYPERLINK("https://klasma.github.io/Logging_0120/klagomålsmail/A 28354-2026 FSC-klagomål mail.docx", "A 28354-2026")</f>
        <v/>
      </c>
      <c r="AA19">
        <f>HYPERLINK("https://klasma.github.io/Logging_0120/tillsyn/A 28354-2026 tillsynsbegäran.docx", "A 28354-2026")</f>
        <v/>
      </c>
      <c r="AB19">
        <f>HYPERLINK("https://klasma.github.io/Logging_0120/tillsynsmail/A 28354-2026 tillsynsbegäran mail.docx", "A 28354-2026")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46222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Älg</t>
        </is>
      </c>
      <c r="V20">
        <f>HYPERLINK("https://klasma.github.io/Logging_0120/artfynd/S 2554-2025 artfynd.xlsx", "S 2554-2025")</f>
        <v/>
      </c>
      <c r="W20">
        <f>HYPERLINK("https://klasma.github.io/Logging_0120/kartor/S 2554-2025 karta.png", "S 2554-2025")</f>
        <v/>
      </c>
      <c r="Y20">
        <f>HYPERLINK("https://klasma.github.io/Logging_0120/klagomål/S 2554-2025 FSC-klagomål.docx", "S 2554-2025")</f>
        <v/>
      </c>
      <c r="Z20">
        <f>HYPERLINK("https://klasma.github.io/Logging_0120/klagomålsmail/S 2554-2025 FSC-klagomål mail.docx", "S 2554-2025")</f>
        <v/>
      </c>
      <c r="AA20">
        <f>HYPERLINK("https://klasma.github.io/Logging_0120/tillsyn/S 2554-2025 tillsynsbegäran.docx", "S 2554-2025")</f>
        <v/>
      </c>
      <c r="AB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46222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46222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46222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46222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46222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17623-2024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46222</v>
      </c>
      <c r="F26" t="inlineStr">
        <is>
          <t>STOCKHOLMS LÄN</t>
        </is>
      </c>
      <c r="G26" t="inlineStr">
        <is>
          <t>VÄRMDÖ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17624-2024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46222</v>
      </c>
      <c r="F27" t="inlineStr">
        <is>
          <t>STOCKHOLMS LÄN</t>
        </is>
      </c>
      <c r="G27" t="inlineStr">
        <is>
          <t>VÄRMDÖ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33061-2024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45517</v>
      </c>
      <c r="E28" s="1" t="n">
        <v>46222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32230-2025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45835</v>
      </c>
      <c r="E29" s="1" t="n">
        <v>46222</v>
      </c>
      <c r="F29" t="inlineStr">
        <is>
          <t>STOCKHOLMS LÄN</t>
        </is>
      </c>
      <c r="G29" t="inlineStr">
        <is>
          <t>VÄRMDÖ</t>
        </is>
      </c>
      <c r="I29" t="n">
        <v>7.9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49568-2024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46222</v>
      </c>
      <c r="F30" t="inlineStr">
        <is>
          <t>STOCKHOLMS LÄN</t>
        </is>
      </c>
      <c r="G30" t="inlineStr">
        <is>
          <t>VÄRMDÖ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17086-2025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46222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20053-2023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45054</v>
      </c>
      <c r="E32" s="1" t="n">
        <v>46222</v>
      </c>
      <c r="F32" t="inlineStr">
        <is>
          <t>STOCKHOLMS LÄN</t>
        </is>
      </c>
      <c r="G32" t="inlineStr">
        <is>
          <t>VÄRMDÖ</t>
        </is>
      </c>
      <c r="H32" t="inlineStr">
        <is>
          <t>Övriga Aktiebolag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32458-2023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46222</v>
      </c>
      <c r="F33" t="inlineStr">
        <is>
          <t>STOCKHOLMS LÄN</t>
        </is>
      </c>
      <c r="G33" t="inlineStr">
        <is>
          <t>VÄRMDÖ</t>
        </is>
      </c>
      <c r="I33" t="n">
        <v>12.5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9966-2024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45363</v>
      </c>
      <c r="E34" s="1" t="n">
        <v>46222</v>
      </c>
      <c r="F34" t="inlineStr">
        <is>
          <t>STOCKHOLMS LÄN</t>
        </is>
      </c>
      <c r="G34" t="inlineStr">
        <is>
          <t>VÄRMDÖ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36148-2023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45149</v>
      </c>
      <c r="E35" s="1" t="n">
        <v>46222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statliga verk och myndigheter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32286-2023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46222</v>
      </c>
      <c r="F36" t="inlineStr">
        <is>
          <t>STOCKHOLMS LÄN</t>
        </is>
      </c>
      <c r="G36" t="inlineStr">
        <is>
          <t>VÄRMDÖ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3827-2022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44587</v>
      </c>
      <c r="E37" s="1" t="n">
        <v>46222</v>
      </c>
      <c r="F37" t="inlineStr">
        <is>
          <t>STOCKHOLMS LÄN</t>
        </is>
      </c>
      <c r="G37" t="inlineStr">
        <is>
          <t>VÄRMDÖ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46222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39082-2021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44412</v>
      </c>
      <c r="E39" s="1" t="n">
        <v>46222</v>
      </c>
      <c r="F39" t="inlineStr">
        <is>
          <t>STOCKHOLMS LÄN</t>
        </is>
      </c>
      <c r="G39" t="inlineStr">
        <is>
          <t>VÄRMDÖ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8756-2023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46222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28590-2024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46222</v>
      </c>
      <c r="F41" t="inlineStr">
        <is>
          <t>STOCKHOLMS LÄN</t>
        </is>
      </c>
      <c r="G41" t="inlineStr">
        <is>
          <t>VÄRMDÖ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33958-2023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45124</v>
      </c>
      <c r="E42" s="1" t="n">
        <v>46222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2240-2023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44938</v>
      </c>
      <c r="E43" s="1" t="n">
        <v>46222</v>
      </c>
      <c r="F43" t="inlineStr">
        <is>
          <t>STOCKHOLMS LÄN</t>
        </is>
      </c>
      <c r="G43" t="inlineStr">
        <is>
          <t>VÄRMDÖ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24798-2026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46222</v>
      </c>
      <c r="F44" t="inlineStr">
        <is>
          <t>STOCKHOLMS LÄN</t>
        </is>
      </c>
      <c r="G44" t="inlineStr">
        <is>
          <t>VÄRMDÖ</t>
        </is>
      </c>
      <c r="I44" t="n">
        <v>8.1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24622-2026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46171</v>
      </c>
      <c r="E45" s="1" t="n">
        <v>46222</v>
      </c>
      <c r="F45" t="inlineStr">
        <is>
          <t>STOCKHOLMS LÄN</t>
        </is>
      </c>
      <c r="G45" t="inlineStr">
        <is>
          <t>VÄRMDÖ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114-2023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44918</v>
      </c>
      <c r="E46" s="1" t="n">
        <v>46222</v>
      </c>
      <c r="F46" t="inlineStr">
        <is>
          <t>STOCKHOLMS LÄN</t>
        </is>
      </c>
      <c r="G46" t="inlineStr">
        <is>
          <t>VÄRMDÖ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46222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46222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46222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46222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46222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46222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46222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46222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46222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46222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2026-07-19T01:34:22Z</dcterms:created>
  <dcterms:modified xmlns:dcterms="http://purl.org/dc/terms/" xmlns:xsi="http://www.w3.org/2001/XMLSchema-instance" xsi:type="dcterms:W3CDTF">2026-07-19T01:34:22Z</dcterms:modified>
</cp:coreProperties>
</file>