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46252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46252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46252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46252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46252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46252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31593-2025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45833</v>
      </c>
      <c r="E12" s="1" t="n">
        <v>46252</v>
      </c>
      <c r="F12" t="inlineStr">
        <is>
          <t>STOCKHOLMS LÄN</t>
        </is>
      </c>
      <c r="G12" t="inlineStr">
        <is>
          <t>VÄRMDÖ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Tallticka</t>
        </is>
      </c>
      <c r="W12">
        <f>HYPERLINK("https://klasma.github.io/Logging_0120/artfynd/A 31593-2025 artfynd.xlsx", "A 31593-2025")</f>
        <v/>
      </c>
      <c r="X12">
        <f>HYPERLINK("https://klasma.github.io/Logging_0120/kartor/A 31593-2025 karta.png", "A 31593-2025")</f>
        <v/>
      </c>
      <c r="Y12">
        <f>HYPERLINK("https://klasma.github.io/Logging_0120/kartor_geotiff/A 31593-2025 georefererad karta.tif", "A 31593-2025")</f>
        <v/>
      </c>
      <c r="AA12">
        <f>HYPERLINK("https://klasma.github.io/Logging_0120/klagomål/A 31593-2025 FSC-klagomål.docx", "A 31593-2025")</f>
        <v/>
      </c>
      <c r="AB12">
        <f>HYPERLINK("https://klasma.github.io/Logging_0120/klagomålsmail/A 31593-2025 FSC-klagomål mail.docx", "A 31593-2025")</f>
        <v/>
      </c>
      <c r="AC12">
        <f>HYPERLINK("https://klasma.github.io/Logging_0120/tillsyn/A 31593-2025 tillsynsbegäran.docx", "A 31593-2025")</f>
        <v/>
      </c>
      <c r="AD12">
        <f>HYPERLINK("https://klasma.github.io/Logging_0120/tillsynsmail/A 31593-2025 tillsynsbegäran mail.docx", "A 31593-2025")</f>
        <v/>
      </c>
    </row>
    <row r="13" ht="15" customHeight="1">
      <c r="A13" t="inlineStr">
        <is>
          <t>A 20373-2025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45775</v>
      </c>
      <c r="E13" s="1" t="n">
        <v>46252</v>
      </c>
      <c r="F13" t="inlineStr">
        <is>
          <t>STOCKHOLMS LÄN</t>
        </is>
      </c>
      <c r="G13" t="inlineStr">
        <is>
          <t>VÄRMDÖ</t>
        </is>
      </c>
      <c r="I13" t="n">
        <v>0.5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HYPERLINK("https://klasma.github.io/Logging_0120/artfynd/A 20373-2025 artfynd.xlsx", "A 20373-2025")</f>
        <v/>
      </c>
      <c r="X13">
        <f>HYPERLINK("https://klasma.github.io/Logging_0120/kartor/A 20373-2025 karta.png", "A 20373-2025")</f>
        <v/>
      </c>
      <c r="Y13">
        <f>HYPERLINK("https://klasma.github.io/Logging_0120/kartor_geotiff/A 20373-2025 georefererad karta.tif", "A 20373-2025")</f>
        <v/>
      </c>
      <c r="AA13">
        <f>HYPERLINK("https://klasma.github.io/Logging_0120/klagomål/A 20373-2025 FSC-klagomål.docx", "A 20373-2025")</f>
        <v/>
      </c>
      <c r="AB13">
        <f>HYPERLINK("https://klasma.github.io/Logging_0120/klagomålsmail/A 20373-2025 FSC-klagomål mail.docx", "A 20373-2025")</f>
        <v/>
      </c>
      <c r="AC13">
        <f>HYPERLINK("https://klasma.github.io/Logging_0120/tillsyn/A 20373-2025 tillsynsbegäran.docx", "A 20373-2025")</f>
        <v/>
      </c>
      <c r="AD13">
        <f>HYPERLINK("https://klasma.github.io/Logging_0120/tillsynsmail/A 20373-2025 tillsynsbegäran mail.docx", "A 20373-2025")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46252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46252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46252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46252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46252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46252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46252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46252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46252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46252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46252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17086-2025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46252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46252</v>
      </c>
      <c r="F26" t="inlineStr">
        <is>
          <t>STOCKHOLMS LÄN</t>
        </is>
      </c>
      <c r="G26" t="inlineStr">
        <is>
          <t>VÄRMDÖ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46252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46252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46252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28590-2024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46252</v>
      </c>
      <c r="F30" t="inlineStr">
        <is>
          <t>STOCKHOLMS LÄN</t>
        </is>
      </c>
      <c r="G30" t="inlineStr">
        <is>
          <t>VÄRMDÖ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9966-2024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45363</v>
      </c>
      <c r="E31" s="1" t="n">
        <v>46252</v>
      </c>
      <c r="F31" t="inlineStr">
        <is>
          <t>STOCKHOLMS LÄN</t>
        </is>
      </c>
      <c r="G31" t="inlineStr">
        <is>
          <t>VÄRMDÖ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46252</v>
      </c>
      <c r="F32" t="inlineStr">
        <is>
          <t>STOCKHOLMS LÄN</t>
        </is>
      </c>
      <c r="G32" t="inlineStr">
        <is>
          <t>VÄRMDÖ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46252</v>
      </c>
      <c r="F33" t="inlineStr">
        <is>
          <t>STOCKHOLMS LÄN</t>
        </is>
      </c>
      <c r="G33" t="inlineStr">
        <is>
          <t>VÄRMDÖ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32458-2023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46252</v>
      </c>
      <c r="F34" t="inlineStr">
        <is>
          <t>STOCKHOLMS LÄN</t>
        </is>
      </c>
      <c r="G34" t="inlineStr">
        <is>
          <t>VÄRMDÖ</t>
        </is>
      </c>
      <c r="I34" t="n">
        <v>12.5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46252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46252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46252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46252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46252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46252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44918</v>
      </c>
      <c r="E41" s="1" t="n">
        <v>46252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46252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46252</v>
      </c>
      <c r="F43" t="inlineStr">
        <is>
          <t>STOCKHOLMS LÄN</t>
        </is>
      </c>
      <c r="G43" t="inlineStr">
        <is>
          <t>VÄRMDÖ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24622-2026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46252</v>
      </c>
      <c r="F44" t="inlineStr">
        <is>
          <t>STOCKHOLMS LÄN</t>
        </is>
      </c>
      <c r="G44" t="inlineStr">
        <is>
          <t>VÄRMDÖ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46252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46252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46252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46252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46252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46252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46252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46252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46252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46252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2026-08-18T01:47:27Z</dcterms:created>
  <dcterms:modified xmlns:dcterms="http://purl.org/dc/terms/" xmlns:xsi="http://www.w3.org/2001/XMLSchema-instance" xsi:type="dcterms:W3CDTF">2026-08-18T01:47:27Z</dcterms:modified>
</cp:coreProperties>
</file>