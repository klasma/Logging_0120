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46318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46318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46318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46318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46318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54056-2022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44876</v>
      </c>
      <c r="E13" s="1" t="n">
        <v>46318</v>
      </c>
      <c r="F13" t="inlineStr">
        <is>
          <t>STOCKHOLMS LÄN</t>
        </is>
      </c>
      <c r="G13" t="inlineStr">
        <is>
          <t>VÄRMDÖ</t>
        </is>
      </c>
      <c r="H13" t="inlineStr">
        <is>
          <t>Kommuner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Tallticka</t>
        </is>
      </c>
      <c r="W13">
        <f>HYPERLINK("https://klasma.github.io/Logging_0120/artfynd/A 54056-2022 artfynd.xlsx", "A 54056-2022")</f>
        <v/>
      </c>
      <c r="X13">
        <f>HYPERLINK("https://klasma.github.io/Logging_0120/kartor/A 54056-2022 karta.png", "A 54056-2022")</f>
        <v/>
      </c>
      <c r="Y13">
        <f>HYPERLINK("https://klasma.github.io/Logging_0120/kartor_geotiff/A 54056-2022 georefererad karta.tif", "A 54056-2022")</f>
        <v/>
      </c>
      <c r="AA13">
        <f>HYPERLINK("https://klasma.github.io/Logging_0120/klagomål/A 54056-2022 FSC-klagomål.docx", "A 54056-2022")</f>
        <v/>
      </c>
      <c r="AB13">
        <f>HYPERLINK("https://klasma.github.io/Logging_0120/klagomålsmail/A 54056-2022 FSC-klagomål mail.docx", "A 54056-2022")</f>
        <v/>
      </c>
      <c r="AC13">
        <f>HYPERLINK("https://klasma.github.io/Logging_0120/tillsyn/A 54056-2022 tillsynsbegäran.docx", "A 54056-2022")</f>
        <v/>
      </c>
      <c r="AD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46318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46318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46318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33046-2022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44785</v>
      </c>
      <c r="E17" s="1" t="n">
        <v>46318</v>
      </c>
      <c r="F17" t="inlineStr">
        <is>
          <t>STOCKHOLMS LÄN</t>
        </is>
      </c>
      <c r="G17" t="inlineStr">
        <is>
          <t>VÄRMDÖ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HYPERLINK("https://klasma.github.io/Logging_0120/artfynd/A 33046-2022 artfynd.xlsx", "A 33046-2022")</f>
        <v/>
      </c>
      <c r="X17">
        <f>HYPERLINK("https://klasma.github.io/Logging_0120/kartor/A 33046-2022 karta.png", "A 33046-2022")</f>
        <v/>
      </c>
      <c r="Y17">
        <f>HYPERLINK("https://klasma.github.io/Logging_0120/kartor_geotiff/A 33046-2022 georefererad karta.tif", "A 33046-2022")</f>
        <v/>
      </c>
      <c r="AA17">
        <f>HYPERLINK("https://klasma.github.io/Logging_0120/klagomål/A 33046-2022 FSC-klagomål.docx", "A 33046-2022")</f>
        <v/>
      </c>
      <c r="AB17">
        <f>HYPERLINK("https://klasma.github.io/Logging_0120/klagomålsmail/A 33046-2022 FSC-klagomål mail.docx", "A 33046-2022")</f>
        <v/>
      </c>
      <c r="AC17">
        <f>HYPERLINK("https://klasma.github.io/Logging_0120/tillsyn/A 33046-2022 tillsynsbegäran.docx", "A 33046-2022")</f>
        <v/>
      </c>
      <c r="AD17">
        <f>HYPERLINK("https://klasma.github.io/Logging_0120/tillsynsmail/A 33046-2022 tillsynsbegäran mail.docx", "A 33046-2022")</f>
        <v/>
      </c>
      <c r="AE17">
        <f>HYPERLINK("https://klasma.github.io/Logging_0120/fåglar/A 33046-2022 prioriterade fågelarter.docx", "A 33046-2022")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46318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46318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46318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46318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46318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46318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8756-2023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44972</v>
      </c>
      <c r="E24" s="1" t="n">
        <v>46318</v>
      </c>
      <c r="F24" t="inlineStr">
        <is>
          <t>STOCKHOLMS LÄN</t>
        </is>
      </c>
      <c r="G24" t="inlineStr">
        <is>
          <t>VÄRMDÖ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30002-2023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45109</v>
      </c>
      <c r="E25" s="1" t="n">
        <v>46318</v>
      </c>
      <c r="F25" t="inlineStr">
        <is>
          <t>STOCKHOLMS LÄN</t>
        </is>
      </c>
      <c r="G25" t="inlineStr">
        <is>
          <t>VÄRMDÖ</t>
        </is>
      </c>
      <c r="I25" t="n">
        <v>4.2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45835</v>
      </c>
      <c r="E26" s="1" t="n">
        <v>46318</v>
      </c>
      <c r="F26" t="inlineStr">
        <is>
          <t>STOCKHOLMS LÄN</t>
        </is>
      </c>
      <c r="G26" t="inlineStr">
        <is>
          <t>VÄRMDÖ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46318</v>
      </c>
      <c r="F27" t="inlineStr">
        <is>
          <t>STOCKHOLMS LÄN</t>
        </is>
      </c>
      <c r="G27" t="inlineStr">
        <is>
          <t>VÄRMDÖ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46318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9966-2024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45363</v>
      </c>
      <c r="E29" s="1" t="n">
        <v>46318</v>
      </c>
      <c r="F29" t="inlineStr">
        <is>
          <t>STOCKHOLMS LÄN</t>
        </is>
      </c>
      <c r="G29" t="inlineStr">
        <is>
          <t>VÄRMDÖ</t>
        </is>
      </c>
      <c r="I29" t="n">
        <v>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46318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46318</v>
      </c>
      <c r="F31" t="inlineStr">
        <is>
          <t>STOCKHOLMS LÄN</t>
        </is>
      </c>
      <c r="G31" t="inlineStr">
        <is>
          <t>VÄRMDÖ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44918</v>
      </c>
      <c r="E32" s="1" t="n">
        <v>46318</v>
      </c>
      <c r="F32" t="inlineStr">
        <is>
          <t>STOCKHOLMS LÄN</t>
        </is>
      </c>
      <c r="G32" t="inlineStr">
        <is>
          <t>VÄRMDÖ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44587</v>
      </c>
      <c r="E33" s="1" t="n">
        <v>46318</v>
      </c>
      <c r="F33" t="inlineStr">
        <is>
          <t>STOCKHOLMS LÄN</t>
        </is>
      </c>
      <c r="G33" t="inlineStr">
        <is>
          <t>VÄRMDÖ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46318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43301-2026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46314</v>
      </c>
      <c r="E35" s="1" t="n">
        <v>46318</v>
      </c>
      <c r="F35" t="inlineStr">
        <is>
          <t>STOCKHOLMS LÄN</t>
        </is>
      </c>
      <c r="G35" t="inlineStr">
        <is>
          <t>VÄRMDÖ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43314-2026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46314</v>
      </c>
      <c r="E36" s="1" t="n">
        <v>46318</v>
      </c>
      <c r="F36" t="inlineStr">
        <is>
          <t>STOCKHOLMS LÄN</t>
        </is>
      </c>
      <c r="G36" t="inlineStr">
        <is>
          <t>VÄRMDÖ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43308-2026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46314</v>
      </c>
      <c r="E37" s="1" t="n">
        <v>46318</v>
      </c>
      <c r="F37" t="inlineStr">
        <is>
          <t>STOCKHOLMS LÄN</t>
        </is>
      </c>
      <c r="G37" t="inlineStr">
        <is>
          <t>VÄRMDÖ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43287-2026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46314</v>
      </c>
      <c r="E38" s="1" t="n">
        <v>46318</v>
      </c>
      <c r="F38" t="inlineStr">
        <is>
          <t>STOCKHOLMS LÄN</t>
        </is>
      </c>
      <c r="G38" t="inlineStr">
        <is>
          <t>VÄRMDÖ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32458-2023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45120</v>
      </c>
      <c r="E39" s="1" t="n">
        <v>46318</v>
      </c>
      <c r="F39" t="inlineStr">
        <is>
          <t>STOCKHOLMS LÄN</t>
        </is>
      </c>
      <c r="G39" t="inlineStr">
        <is>
          <t>VÄRMDÖ</t>
        </is>
      </c>
      <c r="I39" t="n">
        <v>12.5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36148-2023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46318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statliga verk och myndigheter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17086-2025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46318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statliga verk och myndigheter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46318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17624-2024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45417</v>
      </c>
      <c r="E43" s="1" t="n">
        <v>46318</v>
      </c>
      <c r="F43" t="inlineStr">
        <is>
          <t>STOCKHOLMS LÄN</t>
        </is>
      </c>
      <c r="G43" t="inlineStr">
        <is>
          <t>VÄRMDÖ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45596</v>
      </c>
      <c r="E44" s="1" t="n">
        <v>46318</v>
      </c>
      <c r="F44" t="inlineStr">
        <is>
          <t>STOCKHOLMS LÄN</t>
        </is>
      </c>
      <c r="G44" t="inlineStr">
        <is>
          <t>VÄRMDÖ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28590-2024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45478</v>
      </c>
      <c r="E45" s="1" t="n">
        <v>46318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44938</v>
      </c>
      <c r="E46" s="1" t="n">
        <v>46318</v>
      </c>
      <c r="F46" t="inlineStr">
        <is>
          <t>STOCKHOLMS LÄN</t>
        </is>
      </c>
      <c r="G46" t="inlineStr">
        <is>
          <t>VÄRMDÖ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46318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46318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46318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46318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46318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46318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46318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46318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46318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46318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2026-10-23T02:04:14Z</dcterms:created>
  <dcterms:modified xmlns:dcterms="http://purl.org/dc/terms/" xmlns:xsi="http://www.w3.org/2001/XMLSchema-instance" xsi:type="dcterms:W3CDTF">2026-10-23T02:04:14Z</dcterms:modified>
</cp:coreProperties>
</file>