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46174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46174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46174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46174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6412-2024</t>
        </is>
      </c>
      <c r="B13" s="1" t="n">
        <v>45338</v>
      </c>
      <c r="C13" s="1" t="n">
        <v>46174</v>
      </c>
      <c r="D13" t="inlineStr">
        <is>
          <t>STOCKHOLMS LÄN</t>
        </is>
      </c>
      <c r="E13" t="inlineStr">
        <is>
          <t>VÄRMDÖ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HYPERLINK("https://klasma.github.io/Logging_0120/artfynd/A 6412-2024 artfynd.xlsx", "A 6412-2024")</f>
        <v/>
      </c>
      <c r="T13">
        <f>HYPERLINK("https://klasma.github.io/Logging_0120/kartor/A 6412-2024 karta.png", "A 6412-2024")</f>
        <v/>
      </c>
      <c r="V13">
        <f>HYPERLINK("https://klasma.github.io/Logging_0120/klagomål/A 6412-2024 FSC-klagomål.docx", "A 6412-2024")</f>
        <v/>
      </c>
      <c r="W13">
        <f>HYPERLINK("https://klasma.github.io/Logging_0120/klagomålsmail/A 6412-2024 FSC-klagomål mail.docx", "A 6412-2024")</f>
        <v/>
      </c>
      <c r="X13">
        <f>HYPERLINK("https://klasma.github.io/Logging_0120/tillsyn/A 6412-2024 tillsynsbegäran.docx", "A 6412-2024")</f>
        <v/>
      </c>
      <c r="Y13">
        <f>HYPERLINK("https://klasma.github.io/Logging_0120/tillsynsmail/A 6412-2024 tillsynsbegäran mail.docx", "A 6412-2024")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46174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46174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46174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46174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46174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46174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46174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46174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46174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32286-2023</t>
        </is>
      </c>
      <c r="B27" s="1" t="n">
        <v>45120</v>
      </c>
      <c r="C27" s="1" t="n">
        <v>46174</v>
      </c>
      <c r="D27" t="inlineStr">
        <is>
          <t>STOCKHOLMS LÄN</t>
        </is>
      </c>
      <c r="E27" t="inlineStr">
        <is>
          <t>VÄRMDÖ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20346-2025</t>
        </is>
      </c>
      <c r="B28" s="1" t="n">
        <v>45775.38138888889</v>
      </c>
      <c r="C28" s="1" t="n">
        <v>46174</v>
      </c>
      <c r="D28" t="inlineStr">
        <is>
          <t>STOCKHOLMS LÄN</t>
        </is>
      </c>
      <c r="E28" t="inlineStr">
        <is>
          <t>VÄRMDÖ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20373-2025</t>
        </is>
      </c>
      <c r="B29" s="1" t="n">
        <v>45775.4216087963</v>
      </c>
      <c r="C29" s="1" t="n">
        <v>46174</v>
      </c>
      <c r="D29" t="inlineStr">
        <is>
          <t>STOCKHOLMS LÄN</t>
        </is>
      </c>
      <c r="E29" t="inlineStr">
        <is>
          <t>VÄRMDÖ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3827-2022</t>
        </is>
      </c>
      <c r="B30" s="1" t="n">
        <v>44587</v>
      </c>
      <c r="C30" s="1" t="n">
        <v>46174</v>
      </c>
      <c r="D30" t="inlineStr">
        <is>
          <t>STOCKHOLMS LÄN</t>
        </is>
      </c>
      <c r="E30" t="inlineStr">
        <is>
          <t>VÄRMDÖ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8756-2023</t>
        </is>
      </c>
      <c r="B31" s="1" t="n">
        <v>44972</v>
      </c>
      <c r="C31" s="1" t="n">
        <v>46174</v>
      </c>
      <c r="D31" t="inlineStr">
        <is>
          <t>STOCKHOLMS LÄN</t>
        </is>
      </c>
      <c r="E31" t="inlineStr">
        <is>
          <t>VÄRMDÖ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30002-2023</t>
        </is>
      </c>
      <c r="B32" s="1" t="n">
        <v>45109</v>
      </c>
      <c r="C32" s="1" t="n">
        <v>46174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46174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46174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46174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45517.64091435185</v>
      </c>
      <c r="C36" s="1" t="n">
        <v>46174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46174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46174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46174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46174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46174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46174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23720-2023</t>
        </is>
      </c>
      <c r="B43" s="1" t="n">
        <v>45077.6678125</v>
      </c>
      <c r="C43" s="1" t="n">
        <v>46174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46174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46174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46174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46174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46174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46174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24798-2026</t>
        </is>
      </c>
      <c r="B50" s="1" t="n">
        <v>46171.76434027778</v>
      </c>
      <c r="C50" s="1" t="n">
        <v>46174</v>
      </c>
      <c r="D50" t="inlineStr">
        <is>
          <t>STOCKHOLMS LÄN</t>
        </is>
      </c>
      <c r="E50" t="inlineStr">
        <is>
          <t>VÄRMDÖ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24622-2026</t>
        </is>
      </c>
      <c r="B51" s="1" t="n">
        <v>46171.36106481482</v>
      </c>
      <c r="C51" s="1" t="n">
        <v>46174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32230-2025</t>
        </is>
      </c>
      <c r="B52" s="1" t="n">
        <v>45835.59810185185</v>
      </c>
      <c r="C52" s="1" t="n">
        <v>46174</v>
      </c>
      <c r="D52" t="inlineStr">
        <is>
          <t>STOCKHOLMS LÄN</t>
        </is>
      </c>
      <c r="E52" t="inlineStr">
        <is>
          <t>VÄRMDÖ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6894-2026</t>
        </is>
      </c>
      <c r="B53" s="1" t="n">
        <v>46057.47780092592</v>
      </c>
      <c r="C53" s="1" t="n">
        <v>46174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