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46141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46141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46141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46141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46141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46141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46141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71315-2021</t>
        </is>
      </c>
      <c r="B9" s="1" t="n">
        <v>44539</v>
      </c>
      <c r="C9" s="1" t="n">
        <v>46141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5.3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Sårläka</t>
        </is>
      </c>
      <c r="S9">
        <f>HYPERLINK("https://klasma.github.io/Logging_0120/artfynd/A 71315-2021 artfynd.xlsx", "A 71315-2021")</f>
        <v/>
      </c>
      <c r="T9">
        <f>HYPERLINK("https://klasma.github.io/Logging_0120/kartor/A 71315-2021 karta.png", "A 71315-2021")</f>
        <v/>
      </c>
      <c r="V9">
        <f>HYPERLINK("https://klasma.github.io/Logging_0120/klagomål/A 71315-2021 FSC-klagomål.docx", "A 71315-2021")</f>
        <v/>
      </c>
      <c r="W9">
        <f>HYPERLINK("https://klasma.github.io/Logging_0120/klagomålsmail/A 71315-2021 FSC-klagomål mail.docx", "A 71315-2021")</f>
        <v/>
      </c>
      <c r="X9">
        <f>HYPERLINK("https://klasma.github.io/Logging_0120/tillsyn/A 71315-2021 tillsynsbegäran.docx", "A 71315-2021")</f>
        <v/>
      </c>
      <c r="Y9">
        <f>HYPERLINK("https://klasma.github.io/Logging_0120/tillsynsmail/A 71315-2021 tillsynsbegäran mail.docx", "A 71315-2021")</f>
        <v/>
      </c>
    </row>
    <row r="10" ht="15" customHeight="1">
      <c r="A10" t="inlineStr">
        <is>
          <t>A 48658-2022</t>
        </is>
      </c>
      <c r="B10" s="1" t="n">
        <v>44859</v>
      </c>
      <c r="C10" s="1" t="n">
        <v>46141</v>
      </c>
      <c r="D10" t="inlineStr">
        <is>
          <t>STOCKHOLMS LÄN</t>
        </is>
      </c>
      <c r="E10" t="inlineStr">
        <is>
          <t>VÄRMDÖ</t>
        </is>
      </c>
      <c r="G10" t="n">
        <v>4.2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HYPERLINK("https://klasma.github.io/Logging_0120/artfynd/A 48658-2022 artfynd.xlsx", "A 48658-2022")</f>
        <v/>
      </c>
      <c r="T10">
        <f>HYPERLINK("https://klasma.github.io/Logging_0120/kartor/A 48658-2022 karta.png", "A 48658-2022")</f>
        <v/>
      </c>
      <c r="V10">
        <f>HYPERLINK("https://klasma.github.io/Logging_0120/klagomål/A 48658-2022 FSC-klagomål.docx", "A 48658-2022")</f>
        <v/>
      </c>
      <c r="W10">
        <f>HYPERLINK("https://klasma.github.io/Logging_0120/klagomålsmail/A 48658-2022 FSC-klagomål mail.docx", "A 48658-2022")</f>
        <v/>
      </c>
      <c r="X10">
        <f>HYPERLINK("https://klasma.github.io/Logging_0120/tillsyn/A 48658-2022 tillsynsbegäran.docx", "A 48658-2022")</f>
        <v/>
      </c>
      <c r="Y10">
        <f>HYPERLINK("https://klasma.github.io/Logging_0120/tillsynsmail/A 48658-2022 tillsynsbegäran mail.docx", "A 48658-2022")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46141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46141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46141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31593-2025</t>
        </is>
      </c>
      <c r="B14" s="1" t="n">
        <v>45833.70085648148</v>
      </c>
      <c r="C14" s="1" t="n">
        <v>46141</v>
      </c>
      <c r="D14" t="inlineStr">
        <is>
          <t>STOCKHOLMS LÄN</t>
        </is>
      </c>
      <c r="E14" t="inlineStr">
        <is>
          <t>VÄRMDÖ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31593-2025 artfynd.xlsx", "A 31593-2025")</f>
        <v/>
      </c>
      <c r="T14">
        <f>HYPERLINK("https://klasma.github.io/Logging_0120/kartor/A 31593-2025 karta.png", "A 31593-2025")</f>
        <v/>
      </c>
      <c r="V14">
        <f>HYPERLINK("https://klasma.github.io/Logging_0120/klagomål/A 31593-2025 FSC-klagomål.docx", "A 31593-2025")</f>
        <v/>
      </c>
      <c r="W14">
        <f>HYPERLINK("https://klasma.github.io/Logging_0120/klagomålsmail/A 31593-2025 FSC-klagomål mail.docx", "A 31593-2025")</f>
        <v/>
      </c>
      <c r="X14">
        <f>HYPERLINK("https://klasma.github.io/Logging_0120/tillsyn/A 31593-2025 tillsynsbegäran.docx", "A 31593-2025")</f>
        <v/>
      </c>
      <c r="Y14">
        <f>HYPERLINK("https://klasma.github.io/Logging_0120/tillsynsmail/A 31593-2025 tillsynsbegäran mail.docx", "A 31593-2025")</f>
        <v/>
      </c>
    </row>
    <row r="15" ht="15" customHeight="1">
      <c r="A15" t="inlineStr">
        <is>
          <t>A 49123-2021</t>
        </is>
      </c>
      <c r="B15" s="1" t="n">
        <v>44453.86436342593</v>
      </c>
      <c r="C15" s="1" t="n">
        <v>46141</v>
      </c>
      <c r="D15" t="inlineStr">
        <is>
          <t>STOCKHOLMS LÄN</t>
        </is>
      </c>
      <c r="E15" t="inlineStr">
        <is>
          <t>VÄRMDÖ</t>
        </is>
      </c>
      <c r="G15" t="n">
        <v>3.2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22479-2021</t>
        </is>
      </c>
      <c r="B16" s="1" t="n">
        <v>44322</v>
      </c>
      <c r="C16" s="1" t="n">
        <v>46141</v>
      </c>
      <c r="D16" t="inlineStr">
        <is>
          <t>STOCKHOLMS LÄN</t>
        </is>
      </c>
      <c r="E16" t="inlineStr">
        <is>
          <t>VÄRMDÖ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46141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22708-2021</t>
        </is>
      </c>
      <c r="B18" s="1" t="n">
        <v>44327</v>
      </c>
      <c r="C18" s="1" t="n">
        <v>46141</v>
      </c>
      <c r="D18" t="inlineStr">
        <is>
          <t>STOCKHOLMS LÄN</t>
        </is>
      </c>
      <c r="E18" t="inlineStr">
        <is>
          <t>VÄRMDÖ</t>
        </is>
      </c>
      <c r="F18" t="inlineStr">
        <is>
          <t>Övriga Aktiebolag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72108-2021</t>
        </is>
      </c>
      <c r="B19" s="1" t="n">
        <v>44544</v>
      </c>
      <c r="C19" s="1" t="n">
        <v>46141</v>
      </c>
      <c r="D19" t="inlineStr">
        <is>
          <t>STOCKHOLMS LÄN</t>
        </is>
      </c>
      <c r="E19" t="inlineStr">
        <is>
          <t>VÄRMDÖ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71317-2021</t>
        </is>
      </c>
      <c r="B20" s="1" t="n">
        <v>44539.68760416667</v>
      </c>
      <c r="C20" s="1" t="n">
        <v>46141</v>
      </c>
      <c r="D20" t="inlineStr">
        <is>
          <t>STOCKHOLMS LÄN</t>
        </is>
      </c>
      <c r="E20" t="inlineStr">
        <is>
          <t>VÄRMDÖ</t>
        </is>
      </c>
      <c r="F20" t="inlineStr">
        <is>
          <t>Övriga Aktiebolag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39073-2021</t>
        </is>
      </c>
      <c r="B21" s="1" t="n">
        <v>44412.5749537037</v>
      </c>
      <c r="C21" s="1" t="n">
        <v>46141</v>
      </c>
      <c r="D21" t="inlineStr">
        <is>
          <t>STOCKHOLMS LÄN</t>
        </is>
      </c>
      <c r="E21" t="inlineStr">
        <is>
          <t>VÄRMDÖ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71318-2021</t>
        </is>
      </c>
      <c r="B22" s="1" t="n">
        <v>44539.6910300926</v>
      </c>
      <c r="C22" s="1" t="n">
        <v>46141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20641-2022</t>
        </is>
      </c>
      <c r="B23" s="1" t="n">
        <v>44700</v>
      </c>
      <c r="C23" s="1" t="n">
        <v>46141</v>
      </c>
      <c r="D23" t="inlineStr">
        <is>
          <t>STOCKHOLMS LÄN</t>
        </is>
      </c>
      <c r="E23" t="inlineStr">
        <is>
          <t>VÄRMDÖ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46141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72097-2021</t>
        </is>
      </c>
      <c r="B25" s="1" t="n">
        <v>44544</v>
      </c>
      <c r="C25" s="1" t="n">
        <v>46141</v>
      </c>
      <c r="D25" t="inlineStr">
        <is>
          <t>STOCKHOLMS LÄN</t>
        </is>
      </c>
      <c r="E25" t="inlineStr">
        <is>
          <t>VÄRMDÖ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72176-2021</t>
        </is>
      </c>
      <c r="B26" s="1" t="n">
        <v>44544</v>
      </c>
      <c r="C26" s="1" t="n">
        <v>46141</v>
      </c>
      <c r="D26" t="inlineStr">
        <is>
          <t>STOCKHOLMS LÄN</t>
        </is>
      </c>
      <c r="E26" t="inlineStr">
        <is>
          <t>VÄRMDÖ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46141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46141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20373-2025</t>
        </is>
      </c>
      <c r="B29" s="1" t="n">
        <v>45775.4216087963</v>
      </c>
      <c r="C29" s="1" t="n">
        <v>46141</v>
      </c>
      <c r="D29" t="inlineStr">
        <is>
          <t>STOCKHOLMS LÄN</t>
        </is>
      </c>
      <c r="E29" t="inlineStr">
        <is>
          <t>VÄRMDÖ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20346-2025</t>
        </is>
      </c>
      <c r="B30" s="1" t="n">
        <v>45775.38138888889</v>
      </c>
      <c r="C30" s="1" t="n">
        <v>46141</v>
      </c>
      <c r="D30" t="inlineStr">
        <is>
          <t>STOCKHOLMS LÄN</t>
        </is>
      </c>
      <c r="E30" t="inlineStr">
        <is>
          <t>VÄRMDÖ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3827-2022</t>
        </is>
      </c>
      <c r="B31" s="1" t="n">
        <v>44587</v>
      </c>
      <c r="C31" s="1" t="n">
        <v>46141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8756-2023</t>
        </is>
      </c>
      <c r="B32" s="1" t="n">
        <v>44972</v>
      </c>
      <c r="C32" s="1" t="n">
        <v>46141</v>
      </c>
      <c r="D32" t="inlineStr">
        <is>
          <t>STOCKHOLMS LÄN</t>
        </is>
      </c>
      <c r="E32" t="inlineStr">
        <is>
          <t>VÄRMDÖ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30002-2023</t>
        </is>
      </c>
      <c r="B33" s="1" t="n">
        <v>45109</v>
      </c>
      <c r="C33" s="1" t="n">
        <v>46141</v>
      </c>
      <c r="D33" t="inlineStr">
        <is>
          <t>STOCKHOLMS LÄN</t>
        </is>
      </c>
      <c r="E33" t="inlineStr">
        <is>
          <t>VÄRMDÖ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32458-2023</t>
        </is>
      </c>
      <c r="B34" s="1" t="n">
        <v>45120</v>
      </c>
      <c r="C34" s="1" t="n">
        <v>46141</v>
      </c>
      <c r="D34" t="inlineStr">
        <is>
          <t>STOCKHOLMS LÄN</t>
        </is>
      </c>
      <c r="E34" t="inlineStr">
        <is>
          <t>VÄRMDÖ</t>
        </is>
      </c>
      <c r="G34" t="n">
        <v>12.5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36148-2023</t>
        </is>
      </c>
      <c r="B35" s="1" t="n">
        <v>45149</v>
      </c>
      <c r="C35" s="1" t="n">
        <v>46141</v>
      </c>
      <c r="D35" t="inlineStr">
        <is>
          <t>STOCKHOLMS LÄN</t>
        </is>
      </c>
      <c r="E35" t="inlineStr">
        <is>
          <t>VÄRMDÖ</t>
        </is>
      </c>
      <c r="F35" t="inlineStr">
        <is>
          <t>Övriga statliga verk och myndigheter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46141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33061-2024</t>
        </is>
      </c>
      <c r="B37" s="1" t="n">
        <v>45517.64091435185</v>
      </c>
      <c r="C37" s="1" t="n">
        <v>46141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46141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46141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20053-2023</t>
        </is>
      </c>
      <c r="B40" s="1" t="n">
        <v>45054</v>
      </c>
      <c r="C40" s="1" t="n">
        <v>46141</v>
      </c>
      <c r="D40" t="inlineStr">
        <is>
          <t>STOCKHOLMS LÄN</t>
        </is>
      </c>
      <c r="E40" t="inlineStr">
        <is>
          <t>VÄRMDÖ</t>
        </is>
      </c>
      <c r="F40" t="inlineStr">
        <is>
          <t>Övriga Aktiebolag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45572-2021</t>
        </is>
      </c>
      <c r="B41" s="1" t="n">
        <v>44440</v>
      </c>
      <c r="C41" s="1" t="n">
        <v>46141</v>
      </c>
      <c r="D41" t="inlineStr">
        <is>
          <t>STOCKHOLMS LÄN</t>
        </is>
      </c>
      <c r="E41" t="inlineStr">
        <is>
          <t>VÄRMDÖ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46141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46141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17624-2024</t>
        </is>
      </c>
      <c r="B44" s="1" t="n">
        <v>45417.84</v>
      </c>
      <c r="C44" s="1" t="n">
        <v>46141</v>
      </c>
      <c r="D44" t="inlineStr">
        <is>
          <t>STOCKHOLMS LÄN</t>
        </is>
      </c>
      <c r="E44" t="inlineStr">
        <is>
          <t>VÄRMDÖ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23720-2023</t>
        </is>
      </c>
      <c r="B45" s="1" t="n">
        <v>45077.6678125</v>
      </c>
      <c r="C45" s="1" t="n">
        <v>46141</v>
      </c>
      <c r="D45" t="inlineStr">
        <is>
          <t>STOCKHOLMS LÄN</t>
        </is>
      </c>
      <c r="E45" t="inlineStr">
        <is>
          <t>VÄRMDÖ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46141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46141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46141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46141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114-2023</t>
        </is>
      </c>
      <c r="B50" s="1" t="n">
        <v>44918</v>
      </c>
      <c r="C50" s="1" t="n">
        <v>46141</v>
      </c>
      <c r="D50" t="inlineStr">
        <is>
          <t>STOCKHOLMS LÄN</t>
        </is>
      </c>
      <c r="E50" t="inlineStr">
        <is>
          <t>VÄRMDÖ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32230-2025</t>
        </is>
      </c>
      <c r="B51" s="1" t="n">
        <v>45835.59810185185</v>
      </c>
      <c r="C51" s="1" t="n">
        <v>46141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6894-2026</t>
        </is>
      </c>
      <c r="B52" s="1" t="n">
        <v>46057.47780092592</v>
      </c>
      <c r="C52" s="1" t="n">
        <v>46141</v>
      </c>
      <c r="D52" t="inlineStr">
        <is>
          <t>STOCKHOLMS LÄN</t>
        </is>
      </c>
      <c r="E52" t="inlineStr">
        <is>
          <t>VÄRMDÖ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2026-04-29T10:54:10Z</dcterms:created>
  <dcterms:modified xmlns:dcterms="http://purl.org/dc/terms/" xmlns:xsi="http://www.w3.org/2001/XMLSchema-instance" xsi:type="dcterms:W3CDTF">2026-04-29T10:54:10Z</dcterms:modified>
</cp:coreProperties>
</file>