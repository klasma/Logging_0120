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46289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46289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46289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46289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46289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46289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46289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46289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46289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46289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46289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20373-2025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45775</v>
      </c>
      <c r="E13" s="1" t="n">
        <v>46289</v>
      </c>
      <c r="F13" t="inlineStr">
        <is>
          <t>STOCKHOLMS LÄN</t>
        </is>
      </c>
      <c r="G13" t="inlineStr">
        <is>
          <t>VÄRMDÖ</t>
        </is>
      </c>
      <c r="I13" t="n">
        <v>0.5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HYPERLINK("https://klasma.github.io/Logging_0120/artfynd/A 20373-2025 artfynd.xlsx", "A 20373-2025")</f>
        <v/>
      </c>
      <c r="X13">
        <f>HYPERLINK("https://klasma.github.io/Logging_0120/kartor/A 20373-2025 karta.png", "A 20373-2025")</f>
        <v/>
      </c>
      <c r="Y13">
        <f>HYPERLINK("https://klasma.github.io/Logging_0120/kartor_geotiff/A 20373-2025 georefererad karta.tif", "A 20373-2025")</f>
        <v/>
      </c>
      <c r="AA13">
        <f>HYPERLINK("https://klasma.github.io/Logging_0120/klagomål/A 20373-2025 FSC-klagomål.docx", "A 20373-2025")</f>
        <v/>
      </c>
      <c r="AB13">
        <f>HYPERLINK("https://klasma.github.io/Logging_0120/klagomålsmail/A 20373-2025 FSC-klagomål mail.docx", "A 20373-2025")</f>
        <v/>
      </c>
      <c r="AC13">
        <f>HYPERLINK("https://klasma.github.io/Logging_0120/tillsyn/A 20373-2025 tillsynsbegäran.docx", "A 20373-2025")</f>
        <v/>
      </c>
      <c r="AD13">
        <f>HYPERLINK("https://klasma.github.io/Logging_0120/tillsynsmail/A 20373-2025 tillsynsbegäran mail.docx", "A 20373-2025")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46289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46289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46289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HYPERLINK("https://klasma.github.io/Logging_0120/artfynd/A 31593-2025 artfynd.xlsx", "A 31593-2025")</f>
        <v/>
      </c>
      <c r="X16">
        <f>HYPERLINK("https://klasma.github.io/Logging_0120/kartor/A 31593-2025 karta.png", "A 31593-2025")</f>
        <v/>
      </c>
      <c r="Y16">
        <f>HYPERLINK("https://klasma.github.io/Logging_0120/kartor_geotiff/A 31593-2025 georefererad karta.tif", "A 31593-2025")</f>
        <v/>
      </c>
      <c r="AA16">
        <f>HYPERLINK("https://klasma.github.io/Logging_0120/klagomål/A 31593-2025 FSC-klagomål.docx", "A 31593-2025")</f>
        <v/>
      </c>
      <c r="AB16">
        <f>HYPERLINK("https://klasma.github.io/Logging_0120/klagomålsmail/A 31593-2025 FSC-klagomål mail.docx", "A 31593-2025")</f>
        <v/>
      </c>
      <c r="AC16">
        <f>HYPERLINK("https://klasma.github.io/Logging_0120/tillsyn/A 31593-2025 tillsynsbegäran.docx", "A 31593-2025")</f>
        <v/>
      </c>
      <c r="AD16">
        <f>HYPERLINK("https://klasma.github.io/Logging_0120/tillsynsmail/A 31593-2025 tillsynsbegäran mail.docx", "A 31593-2025")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46289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46289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46289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46289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46289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46289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46289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17086-2025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45754</v>
      </c>
      <c r="E24" s="1" t="n">
        <v>46289</v>
      </c>
      <c r="F24" t="inlineStr">
        <is>
          <t>STOCKHOLMS LÄN</t>
        </is>
      </c>
      <c r="G24" t="inlineStr">
        <is>
          <t>VÄRMDÖ</t>
        </is>
      </c>
      <c r="H24" t="inlineStr">
        <is>
          <t>Övriga statliga verk och myndigheter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20053-2023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45054</v>
      </c>
      <c r="E25" s="1" t="n">
        <v>46289</v>
      </c>
      <c r="F25" t="inlineStr">
        <is>
          <t>STOCKHOLMS LÄN</t>
        </is>
      </c>
      <c r="G25" t="inlineStr">
        <is>
          <t>VÄRMDÖ</t>
        </is>
      </c>
      <c r="H25" t="inlineStr">
        <is>
          <t>Övriga Aktiebolag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46289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9966-2024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45363</v>
      </c>
      <c r="E27" s="1" t="n">
        <v>46289</v>
      </c>
      <c r="F27" t="inlineStr">
        <is>
          <t>STOCKHOLMS LÄN</t>
        </is>
      </c>
      <c r="G27" t="inlineStr">
        <is>
          <t>VÄRMDÖ</t>
        </is>
      </c>
      <c r="I27" t="n">
        <v>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46289</v>
      </c>
      <c r="F28" t="inlineStr">
        <is>
          <t>STOCKHOLMS LÄN</t>
        </is>
      </c>
      <c r="G28" t="inlineStr">
        <is>
          <t>VÄRMDÖ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45417</v>
      </c>
      <c r="E29" s="1" t="n">
        <v>46289</v>
      </c>
      <c r="F29" t="inlineStr">
        <is>
          <t>STOCKHOLMS LÄN</t>
        </is>
      </c>
      <c r="G29" t="inlineStr">
        <is>
          <t>VÄRMDÖ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36148-2023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45149</v>
      </c>
      <c r="E30" s="1" t="n">
        <v>46289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33061-2024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45517</v>
      </c>
      <c r="E31" s="1" t="n">
        <v>46289</v>
      </c>
      <c r="F31" t="inlineStr">
        <is>
          <t>STOCKHOLMS LÄN</t>
        </is>
      </c>
      <c r="G31" t="inlineStr">
        <is>
          <t>VÄRMDÖ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46289</v>
      </c>
      <c r="F32" t="inlineStr">
        <is>
          <t>STOCKHOLMS LÄN</t>
        </is>
      </c>
      <c r="G32" t="inlineStr">
        <is>
          <t>VÄRMDÖ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44587</v>
      </c>
      <c r="E33" s="1" t="n">
        <v>46289</v>
      </c>
      <c r="F33" t="inlineStr">
        <is>
          <t>STOCKHOLMS LÄN</t>
        </is>
      </c>
      <c r="G33" t="inlineStr">
        <is>
          <t>VÄRMDÖ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49568-2024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46289</v>
      </c>
      <c r="F34" t="inlineStr">
        <is>
          <t>STOCKHOLMS LÄN</t>
        </is>
      </c>
      <c r="G34" t="inlineStr">
        <is>
          <t>VÄRMDÖ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30002-2023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45109</v>
      </c>
      <c r="E35" s="1" t="n">
        <v>46289</v>
      </c>
      <c r="F35" t="inlineStr">
        <is>
          <t>STOCKHOLMS LÄN</t>
        </is>
      </c>
      <c r="G35" t="inlineStr">
        <is>
          <t>VÄRMDÖ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45835</v>
      </c>
      <c r="E36" s="1" t="n">
        <v>46289</v>
      </c>
      <c r="F36" t="inlineStr">
        <is>
          <t>STOCKHOLMS LÄN</t>
        </is>
      </c>
      <c r="G36" t="inlineStr">
        <is>
          <t>VÄRMDÖ</t>
        </is>
      </c>
      <c r="I36" t="n">
        <v>7.9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46289</v>
      </c>
      <c r="F37" t="inlineStr">
        <is>
          <t>STOCKHOLMS LÄN</t>
        </is>
      </c>
      <c r="G37" t="inlineStr">
        <is>
          <t>VÄRMDÖ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45478</v>
      </c>
      <c r="E38" s="1" t="n">
        <v>46289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33958-2023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45124</v>
      </c>
      <c r="E39" s="1" t="n">
        <v>46289</v>
      </c>
      <c r="F39" t="inlineStr">
        <is>
          <t>STOCKHOLMS LÄN</t>
        </is>
      </c>
      <c r="G39" t="inlineStr">
        <is>
          <t>VÄRMDÖ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44938</v>
      </c>
      <c r="E40" s="1" t="n">
        <v>46289</v>
      </c>
      <c r="F40" t="inlineStr">
        <is>
          <t>STOCKHOLMS LÄN</t>
        </is>
      </c>
      <c r="G40" t="inlineStr">
        <is>
          <t>VÄRMDÖ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44918</v>
      </c>
      <c r="E41" s="1" t="n">
        <v>46289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24798-2026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46289</v>
      </c>
      <c r="F42" t="inlineStr">
        <is>
          <t>STOCKHOLMS LÄN</t>
        </is>
      </c>
      <c r="G42" t="inlineStr">
        <is>
          <t>VÄRMDÖ</t>
        </is>
      </c>
      <c r="I42" t="n">
        <v>8.1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24622-2026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46289</v>
      </c>
      <c r="F43" t="inlineStr">
        <is>
          <t>STOCKHOLMS LÄN</t>
        </is>
      </c>
      <c r="G43" t="inlineStr">
        <is>
          <t>VÄRMDÖ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46289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46289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46289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46289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46289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46289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46289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46289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46289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46289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2026-09-24T01:52:38Z</dcterms:created>
  <dcterms:modified xmlns:dcterms="http://purl.org/dc/terms/" xmlns:xsi="http://www.w3.org/2001/XMLSchema-instance" xsi:type="dcterms:W3CDTF">2026-09-24T01:52:38Z</dcterms:modified>
</cp:coreProperties>
</file>