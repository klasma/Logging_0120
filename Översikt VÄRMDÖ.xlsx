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46229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46229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46229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46229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46229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46229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46229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46229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46229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46229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46229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46229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46229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HYPERLINK("https://klasma.github.io/Logging_0120/artfynd/A 20373-2025 artfynd.xlsx", "A 20373-2025")</f>
        <v/>
      </c>
      <c r="X14">
        <f>HYPERLINK("https://klasma.github.io/Logging_0120/kartor/A 20373-2025 karta.png", "A 20373-2025")</f>
        <v/>
      </c>
      <c r="Y14">
        <f>HYPERLINK("https://klasma.github.io/Logging_0120/kartor_geotiff/A 20373-2025 georefererad karta.tif", "A 20373-2025")</f>
        <v/>
      </c>
      <c r="AA14">
        <f>HYPERLINK("https://klasma.github.io/Logging_0120/klagomål/A 20373-2025 FSC-klagomål.docx", "A 20373-2025")</f>
        <v/>
      </c>
      <c r="AB14">
        <f>HYPERLINK("https://klasma.github.io/Logging_0120/klagomålsmail/A 20373-2025 FSC-klagomål mail.docx", "A 20373-2025")</f>
        <v/>
      </c>
      <c r="AC14">
        <f>HYPERLINK("https://klasma.github.io/Logging_0120/tillsyn/A 20373-2025 tillsynsbegäran.docx", "A 20373-2025")</f>
        <v/>
      </c>
      <c r="AD14">
        <f>HYPERLINK("https://klasma.github.io/Logging_0120/tillsynsmail/A 20373-2025 tillsynsbegäran mail.docx", "A 20373-2025")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46229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46229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54056-2022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44876</v>
      </c>
      <c r="E17" s="1" t="n">
        <v>46229</v>
      </c>
      <c r="F17" t="inlineStr">
        <is>
          <t>STOCKHOLMS LÄN</t>
        </is>
      </c>
      <c r="G17" t="inlineStr">
        <is>
          <t>VÄRMDÖ</t>
        </is>
      </c>
      <c r="H17" t="inlineStr">
        <is>
          <t>Kommuner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HYPERLINK("https://klasma.github.io/Logging_0120/artfynd/A 54056-2022 artfynd.xlsx", "A 54056-2022")</f>
        <v/>
      </c>
      <c r="X17">
        <f>HYPERLINK("https://klasma.github.io/Logging_0120/kartor/A 54056-2022 karta.png", "A 54056-2022")</f>
        <v/>
      </c>
      <c r="Y17">
        <f>HYPERLINK("https://klasma.github.io/Logging_0120/kartor_geotiff/A 54056-2022 georefererad karta.tif", "A 54056-2022")</f>
        <v/>
      </c>
      <c r="AA17">
        <f>HYPERLINK("https://klasma.github.io/Logging_0120/klagomål/A 54056-2022 FSC-klagomål.docx", "A 54056-2022")</f>
        <v/>
      </c>
      <c r="AB17">
        <f>HYPERLINK("https://klasma.github.io/Logging_0120/klagomålsmail/A 54056-2022 FSC-klagomål mail.docx", "A 54056-2022")</f>
        <v/>
      </c>
      <c r="AC17">
        <f>HYPERLINK("https://klasma.github.io/Logging_0120/tillsyn/A 54056-2022 tillsynsbegäran.docx", "A 54056-2022")</f>
        <v/>
      </c>
      <c r="AD17">
        <f>HYPERLINK("https://klasma.github.io/Logging_0120/tillsynsmail/A 54056-2022 tillsynsbegäran mail.docx", "A 54056-2022")</f>
        <v/>
      </c>
    </row>
    <row r="18" ht="15" customHeight="1">
      <c r="A18" t="inlineStr">
        <is>
          <t>A 30154-2022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44757</v>
      </c>
      <c r="E18" s="1" t="n">
        <v>46229</v>
      </c>
      <c r="F18" t="inlineStr">
        <is>
          <t>STOCKHOLMS LÄN</t>
        </is>
      </c>
      <c r="G18" t="inlineStr">
        <is>
          <t>VÄRMDÖ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HYPERLINK("https://klasma.github.io/Logging_0120/artfynd/A 30154-2022 artfynd.xlsx", "A 30154-2022")</f>
        <v/>
      </c>
      <c r="X18">
        <f>HYPERLINK("https://klasma.github.io/Logging_0120/kartor/A 30154-2022 karta.png", "A 30154-2022")</f>
        <v/>
      </c>
      <c r="Y18">
        <f>HYPERLINK("https://klasma.github.io/Logging_0120/kartor_geotiff/A 30154-2022 georefererad karta.tif", "A 30154-2022")</f>
        <v/>
      </c>
      <c r="AA18">
        <f>HYPERLINK("https://klasma.github.io/Logging_0120/klagomål/A 30154-2022 FSC-klagomål.docx", "A 30154-2022")</f>
        <v/>
      </c>
      <c r="AB18">
        <f>HYPERLINK("https://klasma.github.io/Logging_0120/klagomålsmail/A 30154-2022 FSC-klagomål mail.docx", "A 30154-2022")</f>
        <v/>
      </c>
      <c r="AC18">
        <f>HYPERLINK("https://klasma.github.io/Logging_0120/tillsyn/A 30154-2022 tillsynsbegäran.docx", "A 30154-2022")</f>
        <v/>
      </c>
      <c r="AD18">
        <f>HYPERLINK("https://klasma.github.io/Logging_0120/tillsynsmail/A 30154-2022 tillsynsbegäran mail.docx", "A 30154-2022")</f>
        <v/>
      </c>
    </row>
    <row r="19" ht="15" customHeight="1">
      <c r="A19" t="inlineStr">
        <is>
          <t>A 31593-2025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45833</v>
      </c>
      <c r="E19" s="1" t="n">
        <v>46229</v>
      </c>
      <c r="F19" t="inlineStr">
        <is>
          <t>STOCKHOLMS LÄN</t>
        </is>
      </c>
      <c r="G19" t="inlineStr">
        <is>
          <t>VÄRMDÖ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Tallticka</t>
        </is>
      </c>
      <c r="W19">
        <f>HYPERLINK("https://klasma.github.io/Logging_0120/artfynd/A 31593-2025 artfynd.xlsx", "A 31593-2025")</f>
        <v/>
      </c>
      <c r="X19">
        <f>HYPERLINK("https://klasma.github.io/Logging_0120/kartor/A 31593-2025 karta.png", "A 31593-2025")</f>
        <v/>
      </c>
      <c r="Y19">
        <f>HYPERLINK("https://klasma.github.io/Logging_0120/kartor_geotiff/A 31593-2025 georefererad karta.tif", "A 31593-2025")</f>
        <v/>
      </c>
      <c r="AA19">
        <f>HYPERLINK("https://klasma.github.io/Logging_0120/klagomål/A 31593-2025 FSC-klagomål.docx", "A 31593-2025")</f>
        <v/>
      </c>
      <c r="AB19">
        <f>HYPERLINK("https://klasma.github.io/Logging_0120/klagomålsmail/A 31593-2025 FSC-klagomål mail.docx", "A 31593-2025")</f>
        <v/>
      </c>
      <c r="AC19">
        <f>HYPERLINK("https://klasma.github.io/Logging_0120/tillsyn/A 31593-2025 tillsynsbegäran.docx", "A 31593-2025")</f>
        <v/>
      </c>
      <c r="AD19">
        <f>HYPERLINK("https://klasma.github.io/Logging_0120/tillsynsmail/A 31593-2025 tillsynsbegäran mail.docx", "A 31593-2025")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46229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46229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46229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46229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46229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46229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46229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46229</v>
      </c>
      <c r="F27" t="inlineStr">
        <is>
          <t>STOCKHOLMS LÄN</t>
        </is>
      </c>
      <c r="G27" t="inlineStr">
        <is>
          <t>VÄRMDÖ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46229</v>
      </c>
      <c r="F28" t="inlineStr">
        <is>
          <t>STOCKHOLMS LÄN</t>
        </is>
      </c>
      <c r="G28" t="inlineStr">
        <is>
          <t>VÄRMDÖ</t>
        </is>
      </c>
      <c r="I28" t="n">
        <v>12.5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46229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46229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46229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46229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39082-2021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44412</v>
      </c>
      <c r="E33" s="1" t="n">
        <v>46229</v>
      </c>
      <c r="F33" t="inlineStr">
        <is>
          <t>STOCKHOLMS LÄN</t>
        </is>
      </c>
      <c r="G33" t="inlineStr">
        <is>
          <t>VÄRMDÖ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46229</v>
      </c>
      <c r="F34" t="inlineStr">
        <is>
          <t>STOCKHOLMS LÄN</t>
        </is>
      </c>
      <c r="G34" t="inlineStr">
        <is>
          <t>VÄRMDÖ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45478</v>
      </c>
      <c r="E35" s="1" t="n">
        <v>46229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44938</v>
      </c>
      <c r="E36" s="1" t="n">
        <v>46229</v>
      </c>
      <c r="F36" t="inlineStr">
        <is>
          <t>STOCKHOLMS LÄN</t>
        </is>
      </c>
      <c r="G36" t="inlineStr">
        <is>
          <t>VÄRMDÖ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46229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46229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46229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24798-2026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46229</v>
      </c>
      <c r="F40" t="inlineStr">
        <is>
          <t>STOCKHOLMS LÄN</t>
        </is>
      </c>
      <c r="G40" t="inlineStr">
        <is>
          <t>VÄRMDÖ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46229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24622-2026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46229</v>
      </c>
      <c r="F42" t="inlineStr">
        <is>
          <t>STOCKHOLMS LÄN</t>
        </is>
      </c>
      <c r="G42" t="inlineStr">
        <is>
          <t>VÄRMDÖ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20053-2023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45054</v>
      </c>
      <c r="E43" s="1" t="n">
        <v>46229</v>
      </c>
      <c r="F43" t="inlineStr">
        <is>
          <t>STOCKHOLMS LÄN</t>
        </is>
      </c>
      <c r="G43" t="inlineStr">
        <is>
          <t>VÄRMDÖ</t>
        </is>
      </c>
      <c r="H43" t="inlineStr">
        <is>
          <t>Övriga Aktiebolag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46229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46229</v>
      </c>
      <c r="F45" t="inlineStr">
        <is>
          <t>STOCKHOLMS LÄN</t>
        </is>
      </c>
      <c r="G45" t="inlineStr">
        <is>
          <t>VÄRMDÖ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46229</v>
      </c>
      <c r="F46" t="inlineStr">
        <is>
          <t>STOCKHOLMS LÄN</t>
        </is>
      </c>
      <c r="G46" t="inlineStr">
        <is>
          <t>VÄRMDÖ</t>
        </is>
      </c>
      <c r="I46" t="n">
        <v>7.9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46229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46229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46229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46229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46229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46229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46229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46229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46229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46229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2026-07-26T01:53:42Z</dcterms:created>
  <dcterms:modified xmlns:dcterms="http://purl.org/dc/terms/" xmlns:xsi="http://www.w3.org/2001/XMLSchema-instance" xsi:type="dcterms:W3CDTF">2026-07-26T01:53:42Z</dcterms:modified>
</cp:coreProperties>
</file>