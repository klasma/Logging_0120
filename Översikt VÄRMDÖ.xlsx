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46049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46049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1667-2026</t>
        </is>
      </c>
      <c r="B4" s="1" t="n">
        <v>46034</v>
      </c>
      <c r="C4" s="1" t="n">
        <v>46049</v>
      </c>
      <c r="D4" t="inlineStr">
        <is>
          <t>STOCKHOLMS LÄN</t>
        </is>
      </c>
      <c r="E4" t="inlineStr">
        <is>
          <t>VÄRMDÖ</t>
        </is>
      </c>
      <c r="G4" t="n">
        <v>2.2</v>
      </c>
      <c r="H4" t="n">
        <v>0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Reliktbock
Tallticka
Bronshjon
Grovticka</t>
        </is>
      </c>
      <c r="S4">
        <f>HYPERLINK("https://klasma.github.io/Logging_0120/artfynd/A 1667-2026 artfynd.xlsx", "A 1667-2026")</f>
        <v/>
      </c>
      <c r="T4">
        <f>HYPERLINK("https://klasma.github.io/Logging_0120/kartor/A 1667-2026 karta.png", "A 1667-2026")</f>
        <v/>
      </c>
      <c r="V4">
        <f>HYPERLINK("https://klasma.github.io/Logging_0120/klagomål/A 1667-2026 FSC-klagomål.docx", "A 1667-2026")</f>
        <v/>
      </c>
      <c r="W4">
        <f>HYPERLINK("https://klasma.github.io/Logging_0120/klagomålsmail/A 1667-2026 FSC-klagomål mail.docx", "A 1667-2026")</f>
        <v/>
      </c>
      <c r="X4">
        <f>HYPERLINK("https://klasma.github.io/Logging_0120/tillsyn/A 1667-2026 tillsynsbegäran.docx", "A 1667-2026")</f>
        <v/>
      </c>
      <c r="Y4">
        <f>HYPERLINK("https://klasma.github.io/Logging_0120/tillsynsmail/A 1667-2026 tillsynsbegäran mail.docx", "A 1667-2026")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46049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46049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46049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46049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33166-2023</t>
        </is>
      </c>
      <c r="B9" s="1" t="n">
        <v>45126</v>
      </c>
      <c r="C9" s="1" t="n">
        <v>46049</v>
      </c>
      <c r="D9" t="inlineStr">
        <is>
          <t>STOCKHOLMS LÄN</t>
        </is>
      </c>
      <c r="E9" t="inlineStr">
        <is>
          <t>VÄRMDÖ</t>
        </is>
      </c>
      <c r="G9" t="n">
        <v>3.8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Backklöver
Gullklöver
Vippärt</t>
        </is>
      </c>
      <c r="S9">
        <f>HYPERLINK("https://klasma.github.io/Logging_0120/artfynd/A 33166-2023 artfynd.xlsx", "A 33166-2023")</f>
        <v/>
      </c>
      <c r="T9">
        <f>HYPERLINK("https://klasma.github.io/Logging_0120/kartor/A 33166-2023 karta.png", "A 33166-2023")</f>
        <v/>
      </c>
      <c r="V9">
        <f>HYPERLINK("https://klasma.github.io/Logging_0120/klagomål/A 33166-2023 FSC-klagomål.docx", "A 33166-2023")</f>
        <v/>
      </c>
      <c r="W9">
        <f>HYPERLINK("https://klasma.github.io/Logging_0120/klagomålsmail/A 33166-2023 FSC-klagomål mail.docx", "A 33166-2023")</f>
        <v/>
      </c>
      <c r="X9">
        <f>HYPERLINK("https://klasma.github.io/Logging_0120/tillsyn/A 33166-2023 tillsynsbegäran.docx", "A 33166-2023")</f>
        <v/>
      </c>
      <c r="Y9">
        <f>HYPERLINK("https://klasma.github.io/Logging_0120/tillsynsmail/A 33166-2023 tillsynsbegäran mail.docx", "A 33166-2023")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46049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71315-2021</t>
        </is>
      </c>
      <c r="B11" s="1" t="n">
        <v>44539</v>
      </c>
      <c r="C11" s="1" t="n">
        <v>46049</v>
      </c>
      <c r="D11" t="inlineStr">
        <is>
          <t>STOCKHOLMS LÄN</t>
        </is>
      </c>
      <c r="E11" t="inlineStr">
        <is>
          <t>VÄRMDÖ</t>
        </is>
      </c>
      <c r="F11" t="inlineStr">
        <is>
          <t>Övriga Aktiebolag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Sårläka</t>
        </is>
      </c>
      <c r="S11">
        <f>HYPERLINK("https://klasma.github.io/Logging_0120/artfynd/A 71315-2021 artfynd.xlsx", "A 71315-2021")</f>
        <v/>
      </c>
      <c r="T11">
        <f>HYPERLINK("https://klasma.github.io/Logging_0120/kartor/A 71315-2021 karta.png", "A 71315-2021")</f>
        <v/>
      </c>
      <c r="V11">
        <f>HYPERLINK("https://klasma.github.io/Logging_0120/klagomål/A 71315-2021 FSC-klagomål.docx", "A 71315-2021")</f>
        <v/>
      </c>
      <c r="W11">
        <f>HYPERLINK("https://klasma.github.io/Logging_0120/klagomålsmail/A 71315-2021 FSC-klagomål mail.docx", "A 71315-2021")</f>
        <v/>
      </c>
      <c r="X11">
        <f>HYPERLINK("https://klasma.github.io/Logging_0120/tillsyn/A 71315-2021 tillsynsbegäran.docx", "A 71315-2021")</f>
        <v/>
      </c>
      <c r="Y11">
        <f>HYPERLINK("https://klasma.github.io/Logging_0120/tillsynsmail/A 71315-2021 tillsynsbegäran mail.docx", "A 71315-2021")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46049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46049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46049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46049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48658-2022</t>
        </is>
      </c>
      <c r="B16" s="1" t="n">
        <v>44859</v>
      </c>
      <c r="C16" s="1" t="n">
        <v>46049</v>
      </c>
      <c r="D16" t="inlineStr">
        <is>
          <t>STOCKHOLMS LÄN</t>
        </is>
      </c>
      <c r="E16" t="inlineStr">
        <is>
          <t>VÄRMDÖ</t>
        </is>
      </c>
      <c r="G16" t="n">
        <v>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48658-2022 artfynd.xlsx", "A 48658-2022")</f>
        <v/>
      </c>
      <c r="T16">
        <f>HYPERLINK("https://klasma.github.io/Logging_0120/kartor/A 48658-2022 karta.png", "A 48658-2022")</f>
        <v/>
      </c>
      <c r="V16">
        <f>HYPERLINK("https://klasma.github.io/Logging_0120/klagomål/A 48658-2022 FSC-klagomål.docx", "A 48658-2022")</f>
        <v/>
      </c>
      <c r="W16">
        <f>HYPERLINK("https://klasma.github.io/Logging_0120/klagomålsmail/A 48658-2022 FSC-klagomål mail.docx", "A 48658-2022")</f>
        <v/>
      </c>
      <c r="X16">
        <f>HYPERLINK("https://klasma.github.io/Logging_0120/tillsyn/A 48658-2022 tillsynsbegäran.docx", "A 48658-2022")</f>
        <v/>
      </c>
      <c r="Y16">
        <f>HYPERLINK("https://klasma.github.io/Logging_0120/tillsynsmail/A 48658-2022 tillsynsbegäran mail.docx", "A 48658-2022")</f>
        <v/>
      </c>
    </row>
    <row r="17" ht="15" customHeight="1">
      <c r="A17" t="inlineStr">
        <is>
          <t>A 49123-2021</t>
        </is>
      </c>
      <c r="B17" s="1" t="n">
        <v>44453.86436342593</v>
      </c>
      <c r="C17" s="1" t="n">
        <v>46049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16090-2021</t>
        </is>
      </c>
      <c r="B18" s="1" t="n">
        <v>44288</v>
      </c>
      <c r="C18" s="1" t="n">
        <v>46049</v>
      </c>
      <c r="D18" t="inlineStr">
        <is>
          <t>STOCKHOLMS LÄN</t>
        </is>
      </c>
      <c r="E18" t="inlineStr">
        <is>
          <t>VÄRMDÖ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16091-2021</t>
        </is>
      </c>
      <c r="B19" s="1" t="n">
        <v>44288</v>
      </c>
      <c r="C19" s="1" t="n">
        <v>46049</v>
      </c>
      <c r="D19" t="inlineStr">
        <is>
          <t>STOCKHOLMS LÄN</t>
        </is>
      </c>
      <c r="E19" t="inlineStr">
        <is>
          <t>VÄRMDÖ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22479-2021</t>
        </is>
      </c>
      <c r="B20" s="1" t="n">
        <v>44322</v>
      </c>
      <c r="C20" s="1" t="n">
        <v>46049</v>
      </c>
      <c r="D20" t="inlineStr">
        <is>
          <t>STOCKHOLMS LÄN</t>
        </is>
      </c>
      <c r="E20" t="inlineStr">
        <is>
          <t>VÄRMDÖ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1244-2022</t>
        </is>
      </c>
      <c r="B21" s="1" t="n">
        <v>44572</v>
      </c>
      <c r="C21" s="1" t="n">
        <v>46049</v>
      </c>
      <c r="D21" t="inlineStr">
        <is>
          <t>STOCKHOLMS LÄN</t>
        </is>
      </c>
      <c r="E21" t="inlineStr">
        <is>
          <t>VÄRMDÖ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  <c r="T21">
        <f>HYPERLINK("https://klasma.github.io/Logging_0120/kartor/A 1244-2022 karta.png", "A 1244-2022")</f>
        <v/>
      </c>
      <c r="V21">
        <f>HYPERLINK("https://klasma.github.io/Logging_0120/klagomål/A 1244-2022 FSC-klagomål.docx", "A 1244-2022")</f>
        <v/>
      </c>
      <c r="W21">
        <f>HYPERLINK("https://klasma.github.io/Logging_0120/klagomålsmail/A 1244-2022 FSC-klagomål mail.docx", "A 1244-2022")</f>
        <v/>
      </c>
      <c r="X21">
        <f>HYPERLINK("https://klasma.github.io/Logging_0120/tillsyn/A 1244-2022 tillsynsbegäran.docx", "A 1244-2022")</f>
        <v/>
      </c>
      <c r="Y21">
        <f>HYPERLINK("https://klasma.github.io/Logging_0120/tillsynsmail/A 1244-2022 tillsynsbegäran mail.docx", "A 1244-2022")</f>
        <v/>
      </c>
      <c r="Z21">
        <f>HYPERLINK("https://klasma.github.io/Logging_0120/fåglar/A 1244-2022 prioriterade fågelarter.docx", "A 1244-2022")</f>
        <v/>
      </c>
    </row>
    <row r="22" ht="15" customHeight="1">
      <c r="A22" t="inlineStr">
        <is>
          <t>A 22708-2021</t>
        </is>
      </c>
      <c r="B22" s="1" t="n">
        <v>44327</v>
      </c>
      <c r="C22" s="1" t="n">
        <v>46049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46049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46049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46049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46049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46049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46049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46049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46049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46049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46049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46049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46049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33046-2022</t>
        </is>
      </c>
      <c r="B35" s="1" t="n">
        <v>44785</v>
      </c>
      <c r="C35" s="1" t="n">
        <v>46049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17623-2024</t>
        </is>
      </c>
      <c r="B36" s="1" t="n">
        <v>45417.83097222223</v>
      </c>
      <c r="C36" s="1" t="n">
        <v>46049</v>
      </c>
      <c r="D36" t="inlineStr">
        <is>
          <t>STOCKHOLMS LÄN</t>
        </is>
      </c>
      <c r="E36" t="inlineStr">
        <is>
          <t>VÄRMDÖ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17624-2024</t>
        </is>
      </c>
      <c r="B37" s="1" t="n">
        <v>45417.84</v>
      </c>
      <c r="C37" s="1" t="n">
        <v>46049</v>
      </c>
      <c r="D37" t="inlineStr">
        <is>
          <t>STOCKHOLMS LÄN</t>
        </is>
      </c>
      <c r="E37" t="inlineStr">
        <is>
          <t>VÄRMDÖ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33061-2024</t>
        </is>
      </c>
      <c r="B38" s="1" t="n">
        <v>45517.64091435185</v>
      </c>
      <c r="C38" s="1" t="n">
        <v>46049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45572-2021</t>
        </is>
      </c>
      <c r="B39" s="1" t="n">
        <v>44440</v>
      </c>
      <c r="C39" s="1" t="n">
        <v>46049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32230-2025</t>
        </is>
      </c>
      <c r="B40" s="1" t="n">
        <v>45835.59810185185</v>
      </c>
      <c r="C40" s="1" t="n">
        <v>46049</v>
      </c>
      <c r="D40" t="inlineStr">
        <is>
          <t>STOCKHOLMS LÄN</t>
        </is>
      </c>
      <c r="E40" t="inlineStr">
        <is>
          <t>VÄRMDÖ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46485-2025</t>
        </is>
      </c>
      <c r="B41" s="1" t="n">
        <v>45925.70648148148</v>
      </c>
      <c r="C41" s="1" t="n">
        <v>46049</v>
      </c>
      <c r="D41" t="inlineStr">
        <is>
          <t>STOCKHOLMS LÄN</t>
        </is>
      </c>
      <c r="E41" t="inlineStr">
        <is>
          <t>VÄRMDÖ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49568-2024</t>
        </is>
      </c>
      <c r="B42" s="1" t="n">
        <v>45596.49587962963</v>
      </c>
      <c r="C42" s="1" t="n">
        <v>46049</v>
      </c>
      <c r="D42" t="inlineStr">
        <is>
          <t>STOCKHOLMS LÄN</t>
        </is>
      </c>
      <c r="E42" t="inlineStr">
        <is>
          <t>VÄRMDÖ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17086-2025</t>
        </is>
      </c>
      <c r="B43" s="1" t="n">
        <v>45754</v>
      </c>
      <c r="C43" s="1" t="n">
        <v>46049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14008-2021</t>
        </is>
      </c>
      <c r="B44" s="1" t="n">
        <v>44277</v>
      </c>
      <c r="C44" s="1" t="n">
        <v>46049</v>
      </c>
      <c r="D44" t="inlineStr">
        <is>
          <t>STOCKHOLMS LÄN</t>
        </is>
      </c>
      <c r="E44" t="inlineStr">
        <is>
          <t>VÄRMDÖ</t>
        </is>
      </c>
      <c r="F44" t="inlineStr">
        <is>
          <t>Övriga statliga verk och myndigheter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20346-2025</t>
        </is>
      </c>
      <c r="B45" s="1" t="n">
        <v>45775.38138888889</v>
      </c>
      <c r="C45" s="1" t="n">
        <v>46049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20053-2023</t>
        </is>
      </c>
      <c r="B46" s="1" t="n">
        <v>45054</v>
      </c>
      <c r="C46" s="1" t="n">
        <v>46049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20373-2025</t>
        </is>
      </c>
      <c r="B47" s="1" t="n">
        <v>45775.4216087963</v>
      </c>
      <c r="C47" s="1" t="n">
        <v>46049</v>
      </c>
      <c r="D47" t="inlineStr">
        <is>
          <t>STOCKHOLMS LÄN</t>
        </is>
      </c>
      <c r="E47" t="inlineStr">
        <is>
          <t>VÄRMDÖ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32458-2023</t>
        </is>
      </c>
      <c r="B48" s="1" t="n">
        <v>45120</v>
      </c>
      <c r="C48" s="1" t="n">
        <v>46049</v>
      </c>
      <c r="D48" t="inlineStr">
        <is>
          <t>STOCKHOLMS LÄN</t>
        </is>
      </c>
      <c r="E48" t="inlineStr">
        <is>
          <t>VÄRMDÖ</t>
        </is>
      </c>
      <c r="G48" t="n">
        <v>12.5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9966-2024</t>
        </is>
      </c>
      <c r="B49" s="1" t="n">
        <v>45363.65841435185</v>
      </c>
      <c r="C49" s="1" t="n">
        <v>46049</v>
      </c>
      <c r="D49" t="inlineStr">
        <is>
          <t>STOCKHOLMS LÄN</t>
        </is>
      </c>
      <c r="E49" t="inlineStr">
        <is>
          <t>VÄRMDÖ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36148-2023</t>
        </is>
      </c>
      <c r="B50" s="1" t="n">
        <v>45149</v>
      </c>
      <c r="C50" s="1" t="n">
        <v>46049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32286-2023</t>
        </is>
      </c>
      <c r="B51" s="1" t="n">
        <v>45120</v>
      </c>
      <c r="C51" s="1" t="n">
        <v>46049</v>
      </c>
      <c r="D51" t="inlineStr">
        <is>
          <t>STOCKHOLMS LÄN</t>
        </is>
      </c>
      <c r="E51" t="inlineStr">
        <is>
          <t>VÄRMDÖ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9024-2021</t>
        </is>
      </c>
      <c r="B52" s="1" t="n">
        <v>44249.55199074074</v>
      </c>
      <c r="C52" s="1" t="n">
        <v>46049</v>
      </c>
      <c r="D52" t="inlineStr">
        <is>
          <t>STOCKHOLMS LÄN</t>
        </is>
      </c>
      <c r="E52" t="inlineStr">
        <is>
          <t>VÄRMDÖ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3827-2022</t>
        </is>
      </c>
      <c r="B53" s="1" t="n">
        <v>44587</v>
      </c>
      <c r="C53" s="1" t="n">
        <v>46049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30002-2023</t>
        </is>
      </c>
      <c r="B54" s="1" t="n">
        <v>45109</v>
      </c>
      <c r="C54" s="1" t="n">
        <v>46049</v>
      </c>
      <c r="D54" t="inlineStr">
        <is>
          <t>STOCKHOLMS LÄN</t>
        </is>
      </c>
      <c r="E54" t="inlineStr">
        <is>
          <t>VÄRMDÖ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39082-2021</t>
        </is>
      </c>
      <c r="B55" s="1" t="n">
        <v>44412</v>
      </c>
      <c r="C55" s="1" t="n">
        <v>46049</v>
      </c>
      <c r="D55" t="inlineStr">
        <is>
          <t>STOCKHOLMS LÄN</t>
        </is>
      </c>
      <c r="E55" t="inlineStr">
        <is>
          <t>VÄRMDÖ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8756-2023</t>
        </is>
      </c>
      <c r="B56" s="1" t="n">
        <v>44972</v>
      </c>
      <c r="C56" s="1" t="n">
        <v>46049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28590-2024</t>
        </is>
      </c>
      <c r="B57" s="1" t="n">
        <v>45478.41633101852</v>
      </c>
      <c r="C57" s="1" t="n">
        <v>46049</v>
      </c>
      <c r="D57" t="inlineStr">
        <is>
          <t>STOCKHOLMS LÄN</t>
        </is>
      </c>
      <c r="E57" t="inlineStr">
        <is>
          <t>VÄRMDÖ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33958-2023</t>
        </is>
      </c>
      <c r="B58" s="1" t="n">
        <v>45124</v>
      </c>
      <c r="C58" s="1" t="n">
        <v>46049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46049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23720-2023</t>
        </is>
      </c>
      <c r="B60" s="1" t="n">
        <v>45077.6678125</v>
      </c>
      <c r="C60" s="1" t="n">
        <v>46049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114-2023</t>
        </is>
      </c>
      <c r="B61" s="1" t="n">
        <v>44918</v>
      </c>
      <c r="C61" s="1" t="n">
        <v>46049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2026-01-27T10:58:02Z</dcterms:created>
  <dcterms:modified xmlns:dcterms="http://purl.org/dc/terms/" xmlns:xsi="http://www.w3.org/2001/XMLSchema-instance" xsi:type="dcterms:W3CDTF">2026-01-27T10:58:02Z</dcterms:modified>
</cp:coreProperties>
</file>