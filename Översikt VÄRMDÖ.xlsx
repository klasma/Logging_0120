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46182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31577-2025</t>
        </is>
      </c>
      <c r="B6" s="1" t="n">
        <v>45833.67671296297</v>
      </c>
      <c r="C6" s="1" t="n">
        <v>46182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Klofibbla
Nästrot
Sårläka</t>
        </is>
      </c>
      <c r="S6">
        <f>HYPERLINK("https://klasma.github.io/Logging_0120/artfynd/A 31577-2025 artfynd.xlsx", "A 31577-2025")</f>
        <v/>
      </c>
      <c r="T6">
        <f>HYPERLINK("https://klasma.github.io/Logging_0120/kartor/A 31577-2025 karta.png", "A 31577-2025")</f>
        <v/>
      </c>
      <c r="V6">
        <f>HYPERLINK("https://klasma.github.io/Logging_0120/klagomål/A 31577-2025 FSC-klagomål.docx", "A 31577-2025")</f>
        <v/>
      </c>
      <c r="W6">
        <f>HYPERLINK("https://klasma.github.io/Logging_0120/klagomålsmail/A 31577-2025 FSC-klagomål mail.docx", "A 31577-2025")</f>
        <v/>
      </c>
      <c r="X6">
        <f>HYPERLINK("https://klasma.github.io/Logging_0120/tillsyn/A 31577-2025 tillsynsbegäran.docx", "A 31577-2025")</f>
        <v/>
      </c>
      <c r="Y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46182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46182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48658-2022</t>
        </is>
      </c>
      <c r="B9" s="1" t="n">
        <v>44859</v>
      </c>
      <c r="C9" s="1" t="n">
        <v>46182</v>
      </c>
      <c r="D9" t="inlineStr">
        <is>
          <t>STOCKHOLMS LÄN</t>
        </is>
      </c>
      <c r="E9" t="inlineStr">
        <is>
          <t>VÄRMDÖ</t>
        </is>
      </c>
      <c r="G9" t="n">
        <v>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HYPERLINK("https://klasma.github.io/Logging_0120/artfynd/A 48658-2022 artfynd.xlsx", "A 48658-2022")</f>
        <v/>
      </c>
      <c r="T9">
        <f>HYPERLINK("https://klasma.github.io/Logging_0120/kartor/A 48658-2022 karta.png", "A 48658-2022")</f>
        <v/>
      </c>
      <c r="V9">
        <f>HYPERLINK("https://klasma.github.io/Logging_0120/klagomål/A 48658-2022 FSC-klagomål.docx", "A 48658-2022")</f>
        <v/>
      </c>
      <c r="W9">
        <f>HYPERLINK("https://klasma.github.io/Logging_0120/klagomålsmail/A 48658-2022 FSC-klagomål mail.docx", "A 48658-2022")</f>
        <v/>
      </c>
      <c r="X9">
        <f>HYPERLINK("https://klasma.github.io/Logging_0120/tillsyn/A 48658-2022 tillsynsbegäran.docx", "A 48658-2022")</f>
        <v/>
      </c>
      <c r="Y9">
        <f>HYPERLINK("https://klasma.github.io/Logging_0120/tillsynsmail/A 48658-2022 tillsynsbegäran mail.docx", "A 48658-2022")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46182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46182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46182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6412-2024</t>
        </is>
      </c>
      <c r="B13" s="1" t="n">
        <v>45338</v>
      </c>
      <c r="C13" s="1" t="n">
        <v>46182</v>
      </c>
      <c r="D13" t="inlineStr">
        <is>
          <t>STOCKHOLMS LÄN</t>
        </is>
      </c>
      <c r="E13" t="inlineStr">
        <is>
          <t>VÄRMDÖ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HYPERLINK("https://klasma.github.io/Logging_0120/artfynd/A 6412-2024 artfynd.xlsx", "A 6412-2024")</f>
        <v/>
      </c>
      <c r="T13">
        <f>HYPERLINK("https://klasma.github.io/Logging_0120/kartor/A 6412-2024 karta.png", "A 6412-2024")</f>
        <v/>
      </c>
      <c r="V13">
        <f>HYPERLINK("https://klasma.github.io/Logging_0120/klagomål/A 6412-2024 FSC-klagomål.docx", "A 6412-2024")</f>
        <v/>
      </c>
      <c r="W13">
        <f>HYPERLINK("https://klasma.github.io/Logging_0120/klagomålsmail/A 6412-2024 FSC-klagomål mail.docx", "A 6412-2024")</f>
        <v/>
      </c>
      <c r="X13">
        <f>HYPERLINK("https://klasma.github.io/Logging_0120/tillsyn/A 6412-2024 tillsynsbegäran.docx", "A 6412-2024")</f>
        <v/>
      </c>
      <c r="Y13">
        <f>HYPERLINK("https://klasma.github.io/Logging_0120/tillsynsmail/A 6412-2024 tillsynsbegäran mail.docx", "A 6412-2024")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46182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46182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71317-2021</t>
        </is>
      </c>
      <c r="B16" s="1" t="n">
        <v>44539.68760416667</v>
      </c>
      <c r="C16" s="1" t="n">
        <v>46182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39073-2021</t>
        </is>
      </c>
      <c r="B17" s="1" t="n">
        <v>44412.5749537037</v>
      </c>
      <c r="C17" s="1" t="n">
        <v>46182</v>
      </c>
      <c r="D17" t="inlineStr">
        <is>
          <t>STOCKHOLMS LÄN</t>
        </is>
      </c>
      <c r="E17" t="inlineStr">
        <is>
          <t>VÄRMDÖ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46182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46182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46182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3057-2022</t>
        </is>
      </c>
      <c r="B21" s="1" t="n">
        <v>44582</v>
      </c>
      <c r="C21" s="1" t="n">
        <v>46182</v>
      </c>
      <c r="D21" t="inlineStr">
        <is>
          <t>STOCKHOLMS LÄN</t>
        </is>
      </c>
      <c r="E21" t="inlineStr">
        <is>
          <t>VÄRMDÖ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72176-2021</t>
        </is>
      </c>
      <c r="B22" s="1" t="n">
        <v>44544</v>
      </c>
      <c r="C22" s="1" t="n">
        <v>46182</v>
      </c>
      <c r="D22" t="inlineStr">
        <is>
          <t>STOCKHOLMS LÄN</t>
        </is>
      </c>
      <c r="E22" t="inlineStr">
        <is>
          <t>VÄRMDÖ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20373-2025</t>
        </is>
      </c>
      <c r="B23" s="1" t="n">
        <v>45775.4216087963</v>
      </c>
      <c r="C23" s="1" t="n">
        <v>46182</v>
      </c>
      <c r="D23" t="inlineStr">
        <is>
          <t>STOCKHOLMS LÄN</t>
        </is>
      </c>
      <c r="E23" t="inlineStr">
        <is>
          <t>VÄRMDÖ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32230-2025</t>
        </is>
      </c>
      <c r="B24" s="1" t="n">
        <v>45835.59810185185</v>
      </c>
      <c r="C24" s="1" t="n">
        <v>46182</v>
      </c>
      <c r="D24" t="inlineStr">
        <is>
          <t>STOCKHOLMS LÄN</t>
        </is>
      </c>
      <c r="E24" t="inlineStr">
        <is>
          <t>VÄRMDÖ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8756-2023</t>
        </is>
      </c>
      <c r="B25" s="1" t="n">
        <v>44972</v>
      </c>
      <c r="C25" s="1" t="n">
        <v>46182</v>
      </c>
      <c r="D25" t="inlineStr">
        <is>
          <t>STOCKHOLMS LÄN</t>
        </is>
      </c>
      <c r="E25" t="inlineStr">
        <is>
          <t>VÄRMDÖ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30002-2023</t>
        </is>
      </c>
      <c r="B26" s="1" t="n">
        <v>45109</v>
      </c>
      <c r="C26" s="1" t="n">
        <v>46182</v>
      </c>
      <c r="D26" t="inlineStr">
        <is>
          <t>STOCKHOLMS LÄN</t>
        </is>
      </c>
      <c r="E26" t="inlineStr">
        <is>
          <t>VÄRMDÖ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46182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46182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17623-2024</t>
        </is>
      </c>
      <c r="B29" s="1" t="n">
        <v>45417.83097222223</v>
      </c>
      <c r="C29" s="1" t="n">
        <v>46182</v>
      </c>
      <c r="D29" t="inlineStr">
        <is>
          <t>STOCKHOLMS LÄN</t>
        </is>
      </c>
      <c r="E29" t="inlineStr">
        <is>
          <t>VÄRMDÖ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46182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20053-2023</t>
        </is>
      </c>
      <c r="B31" s="1" t="n">
        <v>45054</v>
      </c>
      <c r="C31" s="1" t="n">
        <v>46182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Aktiebolag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32458-2023</t>
        </is>
      </c>
      <c r="B32" s="1" t="n">
        <v>45120</v>
      </c>
      <c r="C32" s="1" t="n">
        <v>46182</v>
      </c>
      <c r="D32" t="inlineStr">
        <is>
          <t>STOCKHOLMS LÄN</t>
        </is>
      </c>
      <c r="E32" t="inlineStr">
        <is>
          <t>VÄRMDÖ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45572-2021</t>
        </is>
      </c>
      <c r="B33" s="1" t="n">
        <v>44440</v>
      </c>
      <c r="C33" s="1" t="n">
        <v>46182</v>
      </c>
      <c r="D33" t="inlineStr">
        <is>
          <t>STOCKHOLMS LÄN</t>
        </is>
      </c>
      <c r="E33" t="inlineStr">
        <is>
          <t>VÄRMDÖ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36148-2023</t>
        </is>
      </c>
      <c r="B34" s="1" t="n">
        <v>45149</v>
      </c>
      <c r="C34" s="1" t="n">
        <v>46182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6894-2026</t>
        </is>
      </c>
      <c r="B35" s="1" t="n">
        <v>46057.47780092592</v>
      </c>
      <c r="C35" s="1" t="n">
        <v>46182</v>
      </c>
      <c r="D35" t="inlineStr">
        <is>
          <t>STOCKHOLMS LÄN</t>
        </is>
      </c>
      <c r="E35" t="inlineStr">
        <is>
          <t>VÄRMDÖ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46182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46182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33958-2023</t>
        </is>
      </c>
      <c r="B38" s="1" t="n">
        <v>45124</v>
      </c>
      <c r="C38" s="1" t="n">
        <v>46182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114-2023</t>
        </is>
      </c>
      <c r="B39" s="1" t="n">
        <v>44918</v>
      </c>
      <c r="C39" s="1" t="n">
        <v>46182</v>
      </c>
      <c r="D39" t="inlineStr">
        <is>
          <t>STOCKHOLMS LÄN</t>
        </is>
      </c>
      <c r="E39" t="inlineStr">
        <is>
          <t>VÄRMDÖ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17624-2024</t>
        </is>
      </c>
      <c r="B40" s="1" t="n">
        <v>45417.84</v>
      </c>
      <c r="C40" s="1" t="n">
        <v>46182</v>
      </c>
      <c r="D40" t="inlineStr">
        <is>
          <t>STOCKHOLMS LÄN</t>
        </is>
      </c>
      <c r="E40" t="inlineStr">
        <is>
          <t>VÄRMDÖ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3827-2022</t>
        </is>
      </c>
      <c r="B41" s="1" t="n">
        <v>44587</v>
      </c>
      <c r="C41" s="1" t="n">
        <v>46182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46182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49568-2024</t>
        </is>
      </c>
      <c r="B43" s="1" t="n">
        <v>45596.49587962963</v>
      </c>
      <c r="C43" s="1" t="n">
        <v>46182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28590-2024</t>
        </is>
      </c>
      <c r="B44" s="1" t="n">
        <v>45478.41633101852</v>
      </c>
      <c r="C44" s="1" t="n">
        <v>46182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2240-2023</t>
        </is>
      </c>
      <c r="B45" s="1" t="n">
        <v>44938</v>
      </c>
      <c r="C45" s="1" t="n">
        <v>46182</v>
      </c>
      <c r="D45" t="inlineStr">
        <is>
          <t>STOCKHOLMS LÄN</t>
        </is>
      </c>
      <c r="E45" t="inlineStr">
        <is>
          <t>VÄRMDÖ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24798-2026</t>
        </is>
      </c>
      <c r="B46" s="1" t="n">
        <v>46171.76434027778</v>
      </c>
      <c r="C46" s="1" t="n">
        <v>46182</v>
      </c>
      <c r="D46" t="inlineStr">
        <is>
          <t>STOCKHOLMS LÄN</t>
        </is>
      </c>
      <c r="E46" t="inlineStr">
        <is>
          <t>VÄRMDÖ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24622-2026</t>
        </is>
      </c>
      <c r="B47" s="1" t="n">
        <v>46171.36106481482</v>
      </c>
      <c r="C47" s="1" t="n">
        <v>46182</v>
      </c>
      <c r="D47" t="inlineStr">
        <is>
          <t>STOCKHOLMS LÄN</t>
        </is>
      </c>
      <c r="E47" t="inlineStr">
        <is>
          <t>VÄRMDÖ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2026-06-09T09:26:39Z</dcterms:created>
  <dcterms:modified xmlns:dcterms="http://purl.org/dc/terms/" xmlns:xsi="http://www.w3.org/2001/XMLSchema-instance" xsi:type="dcterms:W3CDTF">2026-06-09T09:26:39Z</dcterms:modified>
</cp:coreProperties>
</file>