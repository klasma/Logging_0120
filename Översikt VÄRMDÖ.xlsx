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46199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46199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46199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46199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46199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46199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72108-2021</t>
        </is>
      </c>
      <c r="B8" s="1" t="n">
        <v>44544</v>
      </c>
      <c r="C8" s="1" t="n">
        <v>46199</v>
      </c>
      <c r="D8" t="inlineStr">
        <is>
          <t>STOCKHOLMS LÄN</t>
        </is>
      </c>
      <c r="E8" t="inlineStr">
        <is>
          <t>VÄRMDÖ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Jungfrulin</t>
        </is>
      </c>
      <c r="S8">
        <f>HYPERLINK("https://klasma.github.io/Logging_0120/artfynd/A 72108-2021 artfynd.xlsx", "A 72108-2021")</f>
        <v/>
      </c>
      <c r="T8">
        <f>HYPERLINK("https://klasma.github.io/Logging_0120/kartor/A 72108-2021 karta.png", "A 72108-2021")</f>
        <v/>
      </c>
      <c r="V8">
        <f>HYPERLINK("https://klasma.github.io/Logging_0120/klagomål/A 72108-2021 FSC-klagomål.docx", "A 72108-2021")</f>
        <v/>
      </c>
      <c r="W8">
        <f>HYPERLINK("https://klasma.github.io/Logging_0120/klagomålsmail/A 72108-2021 FSC-klagomål mail.docx", "A 72108-2021")</f>
        <v/>
      </c>
      <c r="X8">
        <f>HYPERLINK("https://klasma.github.io/Logging_0120/tillsyn/A 72108-2021 tillsynsbegäran.docx", "A 72108-2021")</f>
        <v/>
      </c>
      <c r="Y8">
        <f>HYPERLINK("https://klasma.github.io/Logging_0120/tillsynsmail/A 72108-2021 tillsynsbegäran mail.docx", "A 72108-2021")</f>
        <v/>
      </c>
    </row>
    <row r="9" ht="15" customHeight="1">
      <c r="A9" t="inlineStr">
        <is>
          <t>A 39073-2021</t>
        </is>
      </c>
      <c r="B9" s="1" t="n">
        <v>44412</v>
      </c>
      <c r="C9" s="1" t="n">
        <v>46199</v>
      </c>
      <c r="D9" t="inlineStr">
        <is>
          <t>STOCKHOLMS LÄN</t>
        </is>
      </c>
      <c r="E9" t="inlineStr">
        <is>
          <t>VÄRMDÖ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Trana</t>
        </is>
      </c>
      <c r="S9">
        <f>HYPERLINK("https://klasma.github.io/Logging_0120/artfynd/A 39073-2021 artfynd.xlsx", "A 39073-2021")</f>
        <v/>
      </c>
      <c r="T9">
        <f>HYPERLINK("https://klasma.github.io/Logging_0120/kartor/A 39073-2021 karta.png", "A 39073-2021")</f>
        <v/>
      </c>
      <c r="V9">
        <f>HYPERLINK("https://klasma.github.io/Logging_0120/klagomål/A 39073-2021 FSC-klagomål.docx", "A 39073-2021")</f>
        <v/>
      </c>
      <c r="W9">
        <f>HYPERLINK("https://klasma.github.io/Logging_0120/klagomålsmail/A 39073-2021 FSC-klagomål mail.docx", "A 39073-2021")</f>
        <v/>
      </c>
      <c r="X9">
        <f>HYPERLINK("https://klasma.github.io/Logging_0120/tillsyn/A 39073-2021 tillsynsbegäran.docx", "A 39073-2021")</f>
        <v/>
      </c>
      <c r="Y9">
        <f>HYPERLINK("https://klasma.github.io/Logging_0120/tillsynsmail/A 39073-2021 tillsynsbegäran mail.docx", "A 39073-2021")</f>
        <v/>
      </c>
      <c r="Z9">
        <f>HYPERLINK("https://klasma.github.io/Logging_0120/fåglar/A 39073-2021 prioriterade fågelarter.docx", "A 39073-2021")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46199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46199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33046-2022</t>
        </is>
      </c>
      <c r="B12" s="1" t="n">
        <v>44785</v>
      </c>
      <c r="C12" s="1" t="n">
        <v>46199</v>
      </c>
      <c r="D12" t="inlineStr">
        <is>
          <t>STOCKHOLMS LÄN</t>
        </is>
      </c>
      <c r="E12" t="inlineStr">
        <is>
          <t>VÄRMDÖ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HYPERLINK("https://klasma.github.io/Logging_0120/artfynd/A 33046-2022 artfynd.xlsx", "A 33046-2022")</f>
        <v/>
      </c>
      <c r="T12">
        <f>HYPERLINK("https://klasma.github.io/Logging_0120/kartor/A 33046-2022 karta.png", "A 33046-2022")</f>
        <v/>
      </c>
      <c r="V12">
        <f>HYPERLINK("https://klasma.github.io/Logging_0120/klagomål/A 33046-2022 FSC-klagomål.docx", "A 33046-2022")</f>
        <v/>
      </c>
      <c r="W12">
        <f>HYPERLINK("https://klasma.github.io/Logging_0120/klagomålsmail/A 33046-2022 FSC-klagomål mail.docx", "A 33046-2022")</f>
        <v/>
      </c>
      <c r="X12">
        <f>HYPERLINK("https://klasma.github.io/Logging_0120/tillsyn/A 33046-2022 tillsynsbegäran.docx", "A 33046-2022")</f>
        <v/>
      </c>
      <c r="Y12">
        <f>HYPERLINK("https://klasma.github.io/Logging_0120/tillsynsmail/A 33046-2022 tillsynsbegäran mail.docx", "A 33046-2022")</f>
        <v/>
      </c>
      <c r="Z12">
        <f>HYPERLINK("https://klasma.github.io/Logging_0120/fåglar/A 33046-2022 prioriterade fågelarter.docx", "A 33046-2022")</f>
        <v/>
      </c>
    </row>
    <row r="13" ht="15" customHeight="1">
      <c r="A13" t="inlineStr">
        <is>
          <t>A 31593-2025</t>
        </is>
      </c>
      <c r="B13" s="1" t="n">
        <v>45833</v>
      </c>
      <c r="C13" s="1" t="n">
        <v>46199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46199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s="1" t="n">
        <v>45775</v>
      </c>
      <c r="C15" s="1" t="n">
        <v>46199</v>
      </c>
      <c r="D15" t="inlineStr">
        <is>
          <t>STOCKHOLMS LÄN</t>
        </is>
      </c>
      <c r="E15" t="inlineStr">
        <is>
          <t>VÄRMDÖ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HYPERLINK("https://klasma.github.io/Logging_0120/artfynd/A 20373-2025 artfynd.xlsx", "A 20373-2025")</f>
        <v/>
      </c>
      <c r="T15">
        <f>HYPERLINK("https://klasma.github.io/Logging_0120/kartor/A 20373-2025 karta.png", "A 20373-2025")</f>
        <v/>
      </c>
      <c r="V15">
        <f>HYPERLINK("https://klasma.github.io/Logging_0120/klagomål/A 20373-2025 FSC-klagomål.docx", "A 20373-2025")</f>
        <v/>
      </c>
      <c r="W15">
        <f>HYPERLINK("https://klasma.github.io/Logging_0120/klagomålsmail/A 20373-2025 FSC-klagomål mail.docx", "A 20373-2025")</f>
        <v/>
      </c>
      <c r="X15">
        <f>HYPERLINK("https://klasma.github.io/Logging_0120/tillsyn/A 20373-2025 tillsynsbegäran.docx", "A 20373-2025")</f>
        <v/>
      </c>
      <c r="Y15">
        <f>HYPERLINK("https://klasma.github.io/Logging_0120/tillsynsmail/A 20373-2025 tillsynsbegäran mail.docx", "A 20373-2025")</f>
        <v/>
      </c>
    </row>
    <row r="16" ht="15" customHeight="1">
      <c r="A16" t="inlineStr">
        <is>
          <t>A 28354-2026</t>
        </is>
      </c>
      <c r="B16" s="1" t="n">
        <v>46195</v>
      </c>
      <c r="C16" s="1" t="n">
        <v>46199</v>
      </c>
      <c r="D16" t="inlineStr">
        <is>
          <t>STOCKHOLMS LÄN</t>
        </is>
      </c>
      <c r="E16" t="inlineStr">
        <is>
          <t>VÄRMDÖ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28354-2026 artfynd.xlsx", "A 28354-2026")</f>
        <v/>
      </c>
      <c r="T16">
        <f>HYPERLINK("https://klasma.github.io/Logging_0120/kartor/A 28354-2026 karta.png", "A 28354-2026")</f>
        <v/>
      </c>
      <c r="V16">
        <f>HYPERLINK("https://klasma.github.io/Logging_0120/klagomål/A 28354-2026 FSC-klagomål.docx", "A 28354-2026")</f>
        <v/>
      </c>
      <c r="W16">
        <f>HYPERLINK("https://klasma.github.io/Logging_0120/klagomålsmail/A 28354-2026 FSC-klagomål mail.docx", "A 28354-2026")</f>
        <v/>
      </c>
      <c r="X16">
        <f>HYPERLINK("https://klasma.github.io/Logging_0120/tillsyn/A 28354-2026 tillsynsbegäran.docx", "A 28354-2026")</f>
        <v/>
      </c>
      <c r="Y16">
        <f>HYPERLINK("https://klasma.github.io/Logging_0120/tillsynsmail/A 28354-2026 tillsynsbegäran mail.docx", "A 28354-2026")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46199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46199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46199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46199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46199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46199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17623-2024</t>
        </is>
      </c>
      <c r="B23" s="1" t="n">
        <v>45417</v>
      </c>
      <c r="C23" s="1" t="n">
        <v>46199</v>
      </c>
      <c r="D23" t="inlineStr">
        <is>
          <t>STOCKHOLMS LÄN</t>
        </is>
      </c>
      <c r="E23" t="inlineStr">
        <is>
          <t>VÄRMDÖ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17624-2024</t>
        </is>
      </c>
      <c r="B24" s="1" t="n">
        <v>45417</v>
      </c>
      <c r="C24" s="1" t="n">
        <v>46199</v>
      </c>
      <c r="D24" t="inlineStr">
        <is>
          <t>STOCKHOLMS LÄN</t>
        </is>
      </c>
      <c r="E24" t="inlineStr">
        <is>
          <t>VÄRMDÖ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33061-2024</t>
        </is>
      </c>
      <c r="B25" s="1" t="n">
        <v>45517</v>
      </c>
      <c r="C25" s="1" t="n">
        <v>46199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32230-2025</t>
        </is>
      </c>
      <c r="B26" s="1" t="n">
        <v>45835</v>
      </c>
      <c r="C26" s="1" t="n">
        <v>46199</v>
      </c>
      <c r="D26" t="inlineStr">
        <is>
          <t>STOCKHOLMS LÄN</t>
        </is>
      </c>
      <c r="E26" t="inlineStr">
        <is>
          <t>VÄRMDÖ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49568-2024</t>
        </is>
      </c>
      <c r="B27" s="1" t="n">
        <v>45596</v>
      </c>
      <c r="C27" s="1" t="n">
        <v>46199</v>
      </c>
      <c r="D27" t="inlineStr">
        <is>
          <t>STOCKHOLMS LÄN</t>
        </is>
      </c>
      <c r="E27" t="inlineStr">
        <is>
          <t>VÄRMDÖ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17086-2025</t>
        </is>
      </c>
      <c r="B28" s="1" t="n">
        <v>45754</v>
      </c>
      <c r="C28" s="1" t="n">
        <v>46199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20053-2023</t>
        </is>
      </c>
      <c r="B29" s="1" t="n">
        <v>45054</v>
      </c>
      <c r="C29" s="1" t="n">
        <v>46199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24622-2026</t>
        </is>
      </c>
      <c r="B30" s="1" t="n">
        <v>46171</v>
      </c>
      <c r="C30" s="1" t="n">
        <v>46199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24798-2026</t>
        </is>
      </c>
      <c r="B31" s="1" t="n">
        <v>46171</v>
      </c>
      <c r="C31" s="1" t="n">
        <v>46199</v>
      </c>
      <c r="D31" t="inlineStr">
        <is>
          <t>STOCKHOLMS LÄN</t>
        </is>
      </c>
      <c r="E31" t="inlineStr">
        <is>
          <t>VÄRMDÖ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32458-2023</t>
        </is>
      </c>
      <c r="B32" s="1" t="n">
        <v>45120</v>
      </c>
      <c r="C32" s="1" t="n">
        <v>46199</v>
      </c>
      <c r="D32" t="inlineStr">
        <is>
          <t>STOCKHOLMS LÄN</t>
        </is>
      </c>
      <c r="E32" t="inlineStr">
        <is>
          <t>VÄRMDÖ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9966-2024</t>
        </is>
      </c>
      <c r="B33" s="1" t="n">
        <v>45363</v>
      </c>
      <c r="C33" s="1" t="n">
        <v>46199</v>
      </c>
      <c r="D33" t="inlineStr">
        <is>
          <t>STOCKHOLMS LÄN</t>
        </is>
      </c>
      <c r="E33" t="inlineStr">
        <is>
          <t>VÄRMDÖ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36148-2023</t>
        </is>
      </c>
      <c r="B34" s="1" t="n">
        <v>45149</v>
      </c>
      <c r="C34" s="1" t="n">
        <v>46199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32286-2023</t>
        </is>
      </c>
      <c r="B35" s="1" t="n">
        <v>45120</v>
      </c>
      <c r="C35" s="1" t="n">
        <v>46199</v>
      </c>
      <c r="D35" t="inlineStr">
        <is>
          <t>STOCKHOLMS LÄN</t>
        </is>
      </c>
      <c r="E35" t="inlineStr">
        <is>
          <t>VÄRMDÖ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3827-2022</t>
        </is>
      </c>
      <c r="B36" s="1" t="n">
        <v>44587</v>
      </c>
      <c r="C36" s="1" t="n">
        <v>46199</v>
      </c>
      <c r="D36" t="inlineStr">
        <is>
          <t>STOCKHOLMS LÄN</t>
        </is>
      </c>
      <c r="E36" t="inlineStr">
        <is>
          <t>VÄRMDÖ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30002-2023</t>
        </is>
      </c>
      <c r="B37" s="1" t="n">
        <v>45109</v>
      </c>
      <c r="C37" s="1" t="n">
        <v>46199</v>
      </c>
      <c r="D37" t="inlineStr">
        <is>
          <t>STOCKHOLMS LÄN</t>
        </is>
      </c>
      <c r="E37" t="inlineStr">
        <is>
          <t>VÄRMDÖ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39082-2021</t>
        </is>
      </c>
      <c r="B38" s="1" t="n">
        <v>44412</v>
      </c>
      <c r="C38" s="1" t="n">
        <v>46199</v>
      </c>
      <c r="D38" t="inlineStr">
        <is>
          <t>STOCKHOLMS LÄN</t>
        </is>
      </c>
      <c r="E38" t="inlineStr">
        <is>
          <t>VÄRMDÖ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8756-2023</t>
        </is>
      </c>
      <c r="B39" s="1" t="n">
        <v>44972</v>
      </c>
      <c r="C39" s="1" t="n">
        <v>46199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</v>
      </c>
      <c r="C40" s="1" t="n">
        <v>46199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33958-2023</t>
        </is>
      </c>
      <c r="B41" s="1" t="n">
        <v>45124</v>
      </c>
      <c r="C41" s="1" t="n">
        <v>46199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2240-2023</t>
        </is>
      </c>
      <c r="B42" s="1" t="n">
        <v>44938</v>
      </c>
      <c r="C42" s="1" t="n">
        <v>46199</v>
      </c>
      <c r="D42" t="inlineStr">
        <is>
          <t>STOCKHOLMS LÄN</t>
        </is>
      </c>
      <c r="E42" t="inlineStr">
        <is>
          <t>VÄRMDÖ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114-2023</t>
        </is>
      </c>
      <c r="B43" s="1" t="n">
        <v>44918</v>
      </c>
      <c r="C43" s="1" t="n">
        <v>46199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2026-06-26T00:47:58Z</dcterms:created>
  <dcterms:modified xmlns:dcterms="http://purl.org/dc/terms/" xmlns:xsi="http://www.w3.org/2001/XMLSchema-instance" xsi:type="dcterms:W3CDTF">2026-06-26T00:47:58Z</dcterms:modified>
</cp:coreProperties>
</file>