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46166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23767-2026</t>
        </is>
      </c>
      <c r="B3" s="1" t="n">
        <v>46164.56459490741</v>
      </c>
      <c r="C3" s="1" t="n">
        <v>46166</v>
      </c>
      <c r="D3" t="inlineStr">
        <is>
          <t>STOCKHOLMS LÄN</t>
        </is>
      </c>
      <c r="E3" t="inlineStr">
        <is>
          <t>VÄRMDÖ</t>
        </is>
      </c>
      <c r="G3" t="n">
        <v>5.1</v>
      </c>
      <c r="H3" t="n">
        <v>0</v>
      </c>
      <c r="I3" t="n">
        <v>5</v>
      </c>
      <c r="J3" t="n">
        <v>1</v>
      </c>
      <c r="K3" t="n">
        <v>2</v>
      </c>
      <c r="L3" t="n">
        <v>1</v>
      </c>
      <c r="M3" t="n">
        <v>0</v>
      </c>
      <c r="N3" t="n">
        <v>0</v>
      </c>
      <c r="O3" t="n">
        <v>4</v>
      </c>
      <c r="P3" t="n">
        <v>3</v>
      </c>
      <c r="Q3" t="n">
        <v>9</v>
      </c>
      <c r="R3" s="2" t="inlineStr">
        <is>
          <t>Blylav
Klosterlav
Mörk kraterlav
Lunglav
Strävlosta
Svart trolldruva
Sårläka
Tibast
Vårärt</t>
        </is>
      </c>
      <c r="S3">
        <f>HYPERLINK("https://klasma.github.io/Logging_0120/artfynd/A 23767-2026 artfynd.xlsx", "A 23767-2026")</f>
        <v/>
      </c>
      <c r="T3">
        <f>HYPERLINK("https://klasma.github.io/Logging_0120/kartor/A 23767-2026 karta.png", "A 23767-2026")</f>
        <v/>
      </c>
      <c r="V3">
        <f>HYPERLINK("https://klasma.github.io/Logging_0120/klagomål/A 23767-2026 FSC-klagomål.docx", "A 23767-2026")</f>
        <v/>
      </c>
      <c r="W3">
        <f>HYPERLINK("https://klasma.github.io/Logging_0120/klagomålsmail/A 23767-2026 FSC-klagomål mail.docx", "A 23767-2026")</f>
        <v/>
      </c>
      <c r="X3">
        <f>HYPERLINK("https://klasma.github.io/Logging_0120/tillsyn/A 23767-2026 tillsynsbegäran.docx", "A 23767-2026")</f>
        <v/>
      </c>
      <c r="Y3">
        <f>HYPERLINK("https://klasma.github.io/Logging_0120/tillsynsmail/A 23767-2026 tillsynsbegäran mail.docx", "A 23767-2026")</f>
        <v/>
      </c>
    </row>
    <row r="4" ht="15" customHeight="1">
      <c r="A4" t="inlineStr">
        <is>
          <t>A 29817-2021</t>
        </is>
      </c>
      <c r="B4" s="1" t="n">
        <v>44362</v>
      </c>
      <c r="C4" s="1" t="n">
        <v>46166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5</v>
      </c>
      <c r="H4" t="n">
        <v>2</v>
      </c>
      <c r="I4" t="n">
        <v>4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Ryl
Svartvit flugsnappare
Tallticka
Granbarkgnagare
Grovticka
Myskbock
Stubbspretmossa
Blåsippa</t>
        </is>
      </c>
      <c r="S4">
        <f>HYPERLINK("https://klasma.github.io/Logging_0120/artfynd/A 29817-2021 artfynd.xlsx", "A 29817-2021")</f>
        <v/>
      </c>
      <c r="T4">
        <f>HYPERLINK("https://klasma.github.io/Logging_0120/kartor/A 29817-2021 karta.png", "A 29817-2021")</f>
        <v/>
      </c>
      <c r="V4">
        <f>HYPERLINK("https://klasma.github.io/Logging_0120/klagomål/A 29817-2021 FSC-klagomål.docx", "A 29817-2021")</f>
        <v/>
      </c>
      <c r="W4">
        <f>HYPERLINK("https://klasma.github.io/Logging_0120/klagomålsmail/A 29817-2021 FSC-klagomål mail.docx", "A 29817-2021")</f>
        <v/>
      </c>
      <c r="X4">
        <f>HYPERLINK("https://klasma.github.io/Logging_0120/tillsyn/A 29817-2021 tillsynsbegäran.docx", "A 29817-2021")</f>
        <v/>
      </c>
      <c r="Y4">
        <f>HYPERLINK("https://klasma.github.io/Logging_0120/tillsynsmail/A 29817-2021 tillsynsbegäran mail.docx", "A 29817-2021")</f>
        <v/>
      </c>
      <c r="Z4">
        <f>HYPERLINK("https://klasma.github.io/Logging_0120/fåglar/A 29817-2021 prioriterade fågelarter.docx", "A 29817-2021")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46166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46166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46166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46166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31577-2025</t>
        </is>
      </c>
      <c r="B9" s="1" t="n">
        <v>45833.67671296297</v>
      </c>
      <c r="C9" s="1" t="n">
        <v>46166</v>
      </c>
      <c r="D9" t="inlineStr">
        <is>
          <t>STOCKHOLMS LÄN</t>
        </is>
      </c>
      <c r="E9" t="inlineStr">
        <is>
          <t>VÄRMDÖ</t>
        </is>
      </c>
      <c r="G9" t="n">
        <v>2.3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Klofibbla
Nästrot
Sårläka</t>
        </is>
      </c>
      <c r="S9">
        <f>HYPERLINK("https://klasma.github.io/Logging_0120/artfynd/A 31577-2025 artfynd.xlsx", "A 31577-2025")</f>
        <v/>
      </c>
      <c r="T9">
        <f>HYPERLINK("https://klasma.github.io/Logging_0120/kartor/A 31577-2025 karta.png", "A 31577-2025")</f>
        <v/>
      </c>
      <c r="V9">
        <f>HYPERLINK("https://klasma.github.io/Logging_0120/klagomål/A 31577-2025 FSC-klagomål.docx", "A 31577-2025")</f>
        <v/>
      </c>
      <c r="W9">
        <f>HYPERLINK("https://klasma.github.io/Logging_0120/klagomålsmail/A 31577-2025 FSC-klagomål mail.docx", "A 31577-2025")</f>
        <v/>
      </c>
      <c r="X9">
        <f>HYPERLINK("https://klasma.github.io/Logging_0120/tillsyn/A 31577-2025 tillsynsbegäran.docx", "A 31577-2025")</f>
        <v/>
      </c>
      <c r="Y9">
        <f>HYPERLINK("https://klasma.github.io/Logging_0120/tillsynsmail/A 31577-2025 tillsynsbegäran mail.docx", "A 31577-2025")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46166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48658-2022</t>
        </is>
      </c>
      <c r="B11" s="1" t="n">
        <v>44859</v>
      </c>
      <c r="C11" s="1" t="n">
        <v>46166</v>
      </c>
      <c r="D11" t="inlineStr">
        <is>
          <t>STOCKHOLMS LÄN</t>
        </is>
      </c>
      <c r="E11" t="inlineStr">
        <is>
          <t>VÄRMDÖ</t>
        </is>
      </c>
      <c r="G11" t="n">
        <v>4.2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48658-2022 artfynd.xlsx", "A 48658-2022")</f>
        <v/>
      </c>
      <c r="T11">
        <f>HYPERLINK("https://klasma.github.io/Logging_0120/kartor/A 48658-2022 karta.png", "A 48658-2022")</f>
        <v/>
      </c>
      <c r="V11">
        <f>HYPERLINK("https://klasma.github.io/Logging_0120/klagomål/A 48658-2022 FSC-klagomål.docx", "A 48658-2022")</f>
        <v/>
      </c>
      <c r="W11">
        <f>HYPERLINK("https://klasma.github.io/Logging_0120/klagomålsmail/A 48658-2022 FSC-klagomål mail.docx", "A 48658-2022")</f>
        <v/>
      </c>
      <c r="X11">
        <f>HYPERLINK("https://klasma.github.io/Logging_0120/tillsyn/A 48658-2022 tillsynsbegäran.docx", "A 48658-2022")</f>
        <v/>
      </c>
      <c r="Y11">
        <f>HYPERLINK("https://klasma.github.io/Logging_0120/tillsynsmail/A 48658-2022 tillsynsbegäran mail.docx", "A 48658-2022")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46166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46166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6412-2024</t>
        </is>
      </c>
      <c r="B14" s="1" t="n">
        <v>45338</v>
      </c>
      <c r="C14" s="1" t="n">
        <v>46166</v>
      </c>
      <c r="D14" t="inlineStr">
        <is>
          <t>STOCKHOLMS LÄN</t>
        </is>
      </c>
      <c r="E14" t="inlineStr">
        <is>
          <t>VÄRMDÖ</t>
        </is>
      </c>
      <c r="G14" t="n">
        <v>2.4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HYPERLINK("https://klasma.github.io/Logging_0120/artfynd/A 6412-2024 artfynd.xlsx", "A 6412-2024")</f>
        <v/>
      </c>
      <c r="T14">
        <f>HYPERLINK("https://klasma.github.io/Logging_0120/kartor/A 6412-2024 karta.png", "A 6412-2024")</f>
        <v/>
      </c>
      <c r="V14">
        <f>HYPERLINK("https://klasma.github.io/Logging_0120/klagomål/A 6412-2024 FSC-klagomål.docx", "A 6412-2024")</f>
        <v/>
      </c>
      <c r="W14">
        <f>HYPERLINK("https://klasma.github.io/Logging_0120/klagomålsmail/A 6412-2024 FSC-klagomål mail.docx", "A 6412-2024")</f>
        <v/>
      </c>
      <c r="X14">
        <f>HYPERLINK("https://klasma.github.io/Logging_0120/tillsyn/A 6412-2024 tillsynsbegäran.docx", "A 6412-2024")</f>
        <v/>
      </c>
      <c r="Y14">
        <f>HYPERLINK("https://klasma.github.io/Logging_0120/tillsynsmail/A 6412-2024 tillsynsbegäran mail.docx", "A 6412-2024")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46166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46166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1244-2022</t>
        </is>
      </c>
      <c r="B17" s="1" t="n">
        <v>44572</v>
      </c>
      <c r="C17" s="1" t="n">
        <v>46166</v>
      </c>
      <c r="D17" t="inlineStr">
        <is>
          <t>STOCKHOLMS LÄN</t>
        </is>
      </c>
      <c r="E17" t="inlineStr">
        <is>
          <t>VÄRMDÖ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  <c r="T17">
        <f>HYPERLINK("https://klasma.github.io/Logging_0120/kartor/A 1244-2022 karta.png", "A 1244-2022")</f>
        <v/>
      </c>
      <c r="V17">
        <f>HYPERLINK("https://klasma.github.io/Logging_0120/klagomål/A 1244-2022 FSC-klagomål.docx", "A 1244-2022")</f>
        <v/>
      </c>
      <c r="W17">
        <f>HYPERLINK("https://klasma.github.io/Logging_0120/klagomålsmail/A 1244-2022 FSC-klagomål mail.docx", "A 1244-2022")</f>
        <v/>
      </c>
      <c r="X17">
        <f>HYPERLINK("https://klasma.github.io/Logging_0120/tillsyn/A 1244-2022 tillsynsbegäran.docx", "A 1244-2022")</f>
        <v/>
      </c>
      <c r="Y17">
        <f>HYPERLINK("https://klasma.github.io/Logging_0120/tillsynsmail/A 1244-2022 tillsynsbegäran mail.docx", "A 1244-2022")</f>
        <v/>
      </c>
      <c r="Z17">
        <f>HYPERLINK("https://klasma.github.io/Logging_0120/fåglar/A 1244-2022 prioriterade fågelarter.docx", "A 1244-2022")</f>
        <v/>
      </c>
    </row>
    <row r="18" ht="15" customHeight="1">
      <c r="A18" t="inlineStr">
        <is>
          <t>A 72108-2021</t>
        </is>
      </c>
      <c r="B18" s="1" t="n">
        <v>44544</v>
      </c>
      <c r="C18" s="1" t="n">
        <v>46166</v>
      </c>
      <c r="D18" t="inlineStr">
        <is>
          <t>STOCKHOLMS LÄN</t>
        </is>
      </c>
      <c r="E18" t="inlineStr">
        <is>
          <t>VÄRMDÖ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71317-2021</t>
        </is>
      </c>
      <c r="B19" s="1" t="n">
        <v>44539.68760416667</v>
      </c>
      <c r="C19" s="1" t="n">
        <v>46166</v>
      </c>
      <c r="D19" t="inlineStr">
        <is>
          <t>STOCKHOLMS LÄN</t>
        </is>
      </c>
      <c r="E19" t="inlineStr">
        <is>
          <t>VÄRMDÖ</t>
        </is>
      </c>
      <c r="F19" t="inlineStr">
        <is>
          <t>Övriga Aktiebolag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39073-2021</t>
        </is>
      </c>
      <c r="B20" s="1" t="n">
        <v>44412.5749537037</v>
      </c>
      <c r="C20" s="1" t="n">
        <v>46166</v>
      </c>
      <c r="D20" t="inlineStr">
        <is>
          <t>STOCKHOLMS LÄN</t>
        </is>
      </c>
      <c r="E20" t="inlineStr">
        <is>
          <t>VÄRMDÖ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71318-2021</t>
        </is>
      </c>
      <c r="B21" s="1" t="n">
        <v>44539.6910300926</v>
      </c>
      <c r="C21" s="1" t="n">
        <v>46166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20641-2022</t>
        </is>
      </c>
      <c r="B22" s="1" t="n">
        <v>44700</v>
      </c>
      <c r="C22" s="1" t="n">
        <v>46166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72097-2021</t>
        </is>
      </c>
      <c r="B23" s="1" t="n">
        <v>44544</v>
      </c>
      <c r="C23" s="1" t="n">
        <v>46166</v>
      </c>
      <c r="D23" t="inlineStr">
        <is>
          <t>STOCKHOLMS LÄN</t>
        </is>
      </c>
      <c r="E23" t="inlineStr">
        <is>
          <t>VÄRMDÖ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3057-2022</t>
        </is>
      </c>
      <c r="B24" s="1" t="n">
        <v>44582</v>
      </c>
      <c r="C24" s="1" t="n">
        <v>46166</v>
      </c>
      <c r="D24" t="inlineStr">
        <is>
          <t>STOCKHOLMS LÄN</t>
        </is>
      </c>
      <c r="E24" t="inlineStr">
        <is>
          <t>VÄRMDÖ</t>
        </is>
      </c>
      <c r="G24" t="n">
        <v>7.4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72176-2021</t>
        </is>
      </c>
      <c r="B25" s="1" t="n">
        <v>44544</v>
      </c>
      <c r="C25" s="1" t="n">
        <v>46166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20373-2025</t>
        </is>
      </c>
      <c r="B26" s="1" t="n">
        <v>45775.4216087963</v>
      </c>
      <c r="C26" s="1" t="n">
        <v>46166</v>
      </c>
      <c r="D26" t="inlineStr">
        <is>
          <t>STOCKHOLMS LÄN</t>
        </is>
      </c>
      <c r="E26" t="inlineStr">
        <is>
          <t>VÄRMDÖ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9966-2024</t>
        </is>
      </c>
      <c r="B27" s="1" t="n">
        <v>45363.65841435185</v>
      </c>
      <c r="C27" s="1" t="n">
        <v>46166</v>
      </c>
      <c r="D27" t="inlineStr">
        <is>
          <t>STOCKHOLMS LÄN</t>
        </is>
      </c>
      <c r="E27" t="inlineStr">
        <is>
          <t>VÄRMDÖ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32286-2023</t>
        </is>
      </c>
      <c r="B28" s="1" t="n">
        <v>45120</v>
      </c>
      <c r="C28" s="1" t="n">
        <v>46166</v>
      </c>
      <c r="D28" t="inlineStr">
        <is>
          <t>STOCKHOLMS LÄN</t>
        </is>
      </c>
      <c r="E28" t="inlineStr">
        <is>
          <t>VÄRMDÖ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32458-2023</t>
        </is>
      </c>
      <c r="B29" s="1" t="n">
        <v>45120</v>
      </c>
      <c r="C29" s="1" t="n">
        <v>46166</v>
      </c>
      <c r="D29" t="inlineStr">
        <is>
          <t>STOCKHOLMS LÄN</t>
        </is>
      </c>
      <c r="E29" t="inlineStr">
        <is>
          <t>VÄRMDÖ</t>
        </is>
      </c>
      <c r="G29" t="n">
        <v>12.5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36148-2023</t>
        </is>
      </c>
      <c r="B30" s="1" t="n">
        <v>45149</v>
      </c>
      <c r="C30" s="1" t="n">
        <v>46166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46485-2025</t>
        </is>
      </c>
      <c r="B31" s="1" t="n">
        <v>45925.70648148148</v>
      </c>
      <c r="C31" s="1" t="n">
        <v>46166</v>
      </c>
      <c r="D31" t="inlineStr">
        <is>
          <t>STOCKHOLMS LÄN</t>
        </is>
      </c>
      <c r="E31" t="inlineStr">
        <is>
          <t>VÄRMDÖ</t>
        </is>
      </c>
      <c r="G31" t="n">
        <v>5.9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33046-2022</t>
        </is>
      </c>
      <c r="B32" s="1" t="n">
        <v>44785</v>
      </c>
      <c r="C32" s="1" t="n">
        <v>46166</v>
      </c>
      <c r="D32" t="inlineStr">
        <is>
          <t>STOCKHOLMS LÄN</t>
        </is>
      </c>
      <c r="E32" t="inlineStr">
        <is>
          <t>VÄRMDÖ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17086-2025</t>
        </is>
      </c>
      <c r="B33" s="1" t="n">
        <v>45754</v>
      </c>
      <c r="C33" s="1" t="n">
        <v>46166</v>
      </c>
      <c r="D33" t="inlineStr">
        <is>
          <t>STOCKHOLMS LÄN</t>
        </is>
      </c>
      <c r="E33" t="inlineStr">
        <is>
          <t>VÄRMDÖ</t>
        </is>
      </c>
      <c r="F33" t="inlineStr">
        <is>
          <t>Övriga statliga verk och myndigheter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33958-2023</t>
        </is>
      </c>
      <c r="B34" s="1" t="n">
        <v>45124</v>
      </c>
      <c r="C34" s="1" t="n">
        <v>46166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17624-2024</t>
        </is>
      </c>
      <c r="B35" s="1" t="n">
        <v>45417.84</v>
      </c>
      <c r="C35" s="1" t="n">
        <v>46166</v>
      </c>
      <c r="D35" t="inlineStr">
        <is>
          <t>STOCKHOLMS LÄN</t>
        </is>
      </c>
      <c r="E35" t="inlineStr">
        <is>
          <t>VÄRMDÖ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39082-2021</t>
        </is>
      </c>
      <c r="B36" s="1" t="n">
        <v>44412</v>
      </c>
      <c r="C36" s="1" t="n">
        <v>46166</v>
      </c>
      <c r="D36" t="inlineStr">
        <is>
          <t>STOCKHOLMS LÄN</t>
        </is>
      </c>
      <c r="E36" t="inlineStr">
        <is>
          <t>VÄRMDÖ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49568-2024</t>
        </is>
      </c>
      <c r="B37" s="1" t="n">
        <v>45596.49587962963</v>
      </c>
      <c r="C37" s="1" t="n">
        <v>46166</v>
      </c>
      <c r="D37" t="inlineStr">
        <is>
          <t>STOCKHOLMS LÄN</t>
        </is>
      </c>
      <c r="E37" t="inlineStr">
        <is>
          <t>VÄRMDÖ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28590-2024</t>
        </is>
      </c>
      <c r="B38" s="1" t="n">
        <v>45478.41633101852</v>
      </c>
      <c r="C38" s="1" t="n">
        <v>46166</v>
      </c>
      <c r="D38" t="inlineStr">
        <is>
          <t>STOCKHOLMS LÄN</t>
        </is>
      </c>
      <c r="E38" t="inlineStr">
        <is>
          <t>VÄRMDÖ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2240-2023</t>
        </is>
      </c>
      <c r="B39" s="1" t="n">
        <v>44938</v>
      </c>
      <c r="C39" s="1" t="n">
        <v>46166</v>
      </c>
      <c r="D39" t="inlineStr">
        <is>
          <t>STOCKHOLMS LÄN</t>
        </is>
      </c>
      <c r="E39" t="inlineStr">
        <is>
          <t>VÄRMDÖ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20346-2025</t>
        </is>
      </c>
      <c r="B40" s="1" t="n">
        <v>45775.38138888889</v>
      </c>
      <c r="C40" s="1" t="n">
        <v>46166</v>
      </c>
      <c r="D40" t="inlineStr">
        <is>
          <t>STOCKHOLMS LÄN</t>
        </is>
      </c>
      <c r="E40" t="inlineStr">
        <is>
          <t>VÄRMDÖ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8756-2023</t>
        </is>
      </c>
      <c r="B41" s="1" t="n">
        <v>44972</v>
      </c>
      <c r="C41" s="1" t="n">
        <v>46166</v>
      </c>
      <c r="D41" t="inlineStr">
        <is>
          <t>STOCKHOLMS LÄN</t>
        </is>
      </c>
      <c r="E41" t="inlineStr">
        <is>
          <t>VÄRMDÖ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30002-2023</t>
        </is>
      </c>
      <c r="B42" s="1" t="n">
        <v>45109</v>
      </c>
      <c r="C42" s="1" t="n">
        <v>46166</v>
      </c>
      <c r="D42" t="inlineStr">
        <is>
          <t>STOCKHOLMS LÄN</t>
        </is>
      </c>
      <c r="E42" t="inlineStr">
        <is>
          <t>VÄRMDÖ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6894-2026</t>
        </is>
      </c>
      <c r="B43" s="1" t="n">
        <v>46057.47780092592</v>
      </c>
      <c r="C43" s="1" t="n">
        <v>46166</v>
      </c>
      <c r="D43" t="inlineStr">
        <is>
          <t>STOCKHOLMS LÄN</t>
        </is>
      </c>
      <c r="E43" t="inlineStr">
        <is>
          <t>VÄRMDÖ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17623-2024</t>
        </is>
      </c>
      <c r="B44" s="1" t="n">
        <v>45417.83097222223</v>
      </c>
      <c r="C44" s="1" t="n">
        <v>46166</v>
      </c>
      <c r="D44" t="inlineStr">
        <is>
          <t>STOCKHOLMS LÄN</t>
        </is>
      </c>
      <c r="E44" t="inlineStr">
        <is>
          <t>VÄRMDÖ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33061-2024</t>
        </is>
      </c>
      <c r="B45" s="1" t="n">
        <v>45517.64091435185</v>
      </c>
      <c r="C45" s="1" t="n">
        <v>46166</v>
      </c>
      <c r="D45" t="inlineStr">
        <is>
          <t>STOCKHOLMS LÄN</t>
        </is>
      </c>
      <c r="E45" t="inlineStr">
        <is>
          <t>VÄRMDÖ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46166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46166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23720-2023</t>
        </is>
      </c>
      <c r="B48" s="1" t="n">
        <v>45077.6678125</v>
      </c>
      <c r="C48" s="1" t="n">
        <v>46166</v>
      </c>
      <c r="D48" t="inlineStr">
        <is>
          <t>STOCKHOLMS LÄN</t>
        </is>
      </c>
      <c r="E48" t="inlineStr">
        <is>
          <t>VÄRMDÖ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114-2023</t>
        </is>
      </c>
      <c r="B49" s="1" t="n">
        <v>44918</v>
      </c>
      <c r="C49" s="1" t="n">
        <v>46166</v>
      </c>
      <c r="D49" t="inlineStr">
        <is>
          <t>STOCKHOLMS LÄN</t>
        </is>
      </c>
      <c r="E49" t="inlineStr">
        <is>
          <t>VÄRMDÖ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3827-2022</t>
        </is>
      </c>
      <c r="B50" s="1" t="n">
        <v>44587</v>
      </c>
      <c r="C50" s="1" t="n">
        <v>46166</v>
      </c>
      <c r="D50" t="inlineStr">
        <is>
          <t>STOCKHOLMS LÄN</t>
        </is>
      </c>
      <c r="E50" t="inlineStr">
        <is>
          <t>VÄRMDÖ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32230-2025</t>
        </is>
      </c>
      <c r="B51" s="1" t="n">
        <v>45835.59810185185</v>
      </c>
      <c r="C51" s="1" t="n">
        <v>46166</v>
      </c>
      <c r="D51" t="inlineStr">
        <is>
          <t>STOCKHOLMS LÄN</t>
        </is>
      </c>
      <c r="E51" t="inlineStr">
        <is>
          <t>VÄRMDÖ</t>
        </is>
      </c>
      <c r="G51" t="n">
        <v>7.9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2026-05-24T10:54:54Z</dcterms:created>
  <dcterms:modified xmlns:dcterms="http://purl.org/dc/terms/" xmlns:xsi="http://www.w3.org/2001/XMLSchema-instance" xsi:type="dcterms:W3CDTF">2026-05-24T10:54:54Z</dcterms:modified>
</cp:coreProperties>
</file>