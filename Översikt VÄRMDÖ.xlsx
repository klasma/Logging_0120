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45701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45701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45701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45701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45701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45701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45701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45701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45701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45701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45701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45701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45701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45701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32338-2023</t>
        </is>
      </c>
      <c r="B16" s="1" t="n">
        <v>45120</v>
      </c>
      <c r="C16" s="1" t="n">
        <v>45701</v>
      </c>
      <c r="D16" t="inlineStr">
        <is>
          <t>STOCKHOLMS LÄN</t>
        </is>
      </c>
      <c r="E16" t="inlineStr">
        <is>
          <t>VÄRMDÖ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HYPERLINK("https://klasma.github.io/Logging_0120/artfynd/A 32338-2023 artfynd.xlsx", "A 32338-2023")</f>
        <v/>
      </c>
      <c r="T16">
        <f>HYPERLINK("https://klasma.github.io/Logging_0120/kartor/A 32338-2023 karta.png", "A 32338-2023")</f>
        <v/>
      </c>
      <c r="V16">
        <f>HYPERLINK("https://klasma.github.io/Logging_0120/klagomål/A 32338-2023 FSC-klagomål.docx", "A 32338-2023")</f>
        <v/>
      </c>
      <c r="W16">
        <f>HYPERLINK("https://klasma.github.io/Logging_0120/klagomålsmail/A 32338-2023 FSC-klagomål mail.docx", "A 32338-2023")</f>
        <v/>
      </c>
      <c r="X16">
        <f>HYPERLINK("https://klasma.github.io/Logging_0120/tillsyn/A 32338-2023 tillsynsbegäran.docx", "A 32338-2023")</f>
        <v/>
      </c>
      <c r="Y16">
        <f>HYPERLINK("https://klasma.github.io/Logging_0120/tillsynsmail/A 32338-2023 tillsynsbegäran mail.docx", "A 32338-2023")</f>
        <v/>
      </c>
    </row>
    <row r="17" ht="15" customHeight="1">
      <c r="A17" t="inlineStr">
        <is>
          <t>A 32455-2023</t>
        </is>
      </c>
      <c r="B17" s="1" t="n">
        <v>45120</v>
      </c>
      <c r="C17" s="1" t="n">
        <v>45701</v>
      </c>
      <c r="D17" t="inlineStr">
        <is>
          <t>STOCKHOLMS LÄN</t>
        </is>
      </c>
      <c r="E17" t="inlineStr">
        <is>
          <t>VÄRMDÖ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HYPERLINK("https://klasma.github.io/Logging_0120/artfynd/A 32455-2023 artfynd.xlsx", "A 32455-2023")</f>
        <v/>
      </c>
      <c r="T17">
        <f>HYPERLINK("https://klasma.github.io/Logging_0120/kartor/A 32455-2023 karta.png", "A 32455-2023")</f>
        <v/>
      </c>
      <c r="V17">
        <f>HYPERLINK("https://klasma.github.io/Logging_0120/klagomål/A 32455-2023 FSC-klagomål.docx", "A 32455-2023")</f>
        <v/>
      </c>
      <c r="W17">
        <f>HYPERLINK("https://klasma.github.io/Logging_0120/klagomålsmail/A 32455-2023 FSC-klagomål mail.docx", "A 32455-2023")</f>
        <v/>
      </c>
      <c r="X17">
        <f>HYPERLINK("https://klasma.github.io/Logging_0120/tillsyn/A 32455-2023 tillsynsbegäran.docx", "A 32455-2023")</f>
        <v/>
      </c>
      <c r="Y17">
        <f>HYPERLINK("https://klasma.github.io/Logging_0120/tillsynsmail/A 32455-2023 tillsynsbegäran mail.docx", "A 32455-2023")</f>
        <v/>
      </c>
    </row>
    <row r="18" ht="15" customHeight="1">
      <c r="A18" t="inlineStr">
        <is>
          <t>A 6412-2024</t>
        </is>
      </c>
      <c r="B18" s="1" t="n">
        <v>45338</v>
      </c>
      <c r="C18" s="1" t="n">
        <v>45701</v>
      </c>
      <c r="D18" t="inlineStr">
        <is>
          <t>STOCKHOLMS LÄN</t>
        </is>
      </c>
      <c r="E18" t="inlineStr">
        <is>
          <t>VÄRMDÖ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HYPERLINK("https://klasma.github.io/Logging_0120/artfynd/A 6412-2024 artfynd.xlsx", "A 6412-2024")</f>
        <v/>
      </c>
      <c r="T18">
        <f>HYPERLINK("https://klasma.github.io/Logging_0120/kartor/A 6412-2024 karta.png", "A 6412-2024")</f>
        <v/>
      </c>
      <c r="V18">
        <f>HYPERLINK("https://klasma.github.io/Logging_0120/klagomål/A 6412-2024 FSC-klagomål.docx", "A 6412-2024")</f>
        <v/>
      </c>
      <c r="W18">
        <f>HYPERLINK("https://klasma.github.io/Logging_0120/klagomålsmail/A 6412-2024 FSC-klagomål mail.docx", "A 6412-2024")</f>
        <v/>
      </c>
      <c r="X18">
        <f>HYPERLINK("https://klasma.github.io/Logging_0120/tillsyn/A 6412-2024 tillsynsbegäran.docx", "A 6412-2024")</f>
        <v/>
      </c>
      <c r="Y18">
        <f>HYPERLINK("https://klasma.github.io/Logging_0120/tillsynsmail/A 6412-2024 tillsynsbegäran mail.docx", "A 6412-2024")</f>
        <v/>
      </c>
    </row>
    <row r="19" ht="15" customHeight="1">
      <c r="A19" t="inlineStr">
        <is>
          <t>A 23342-2019</t>
        </is>
      </c>
      <c r="B19" s="1" t="n">
        <v>43593</v>
      </c>
      <c r="C19" s="1" t="n">
        <v>45701</v>
      </c>
      <c r="D19" t="inlineStr">
        <is>
          <t>STOCKHOLMS LÄN</t>
        </is>
      </c>
      <c r="E19" t="inlineStr">
        <is>
          <t>VÄRMDÖ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30529-2019</t>
        </is>
      </c>
      <c r="B20" s="1" t="n">
        <v>43635</v>
      </c>
      <c r="C20" s="1" t="n">
        <v>45701</v>
      </c>
      <c r="D20" t="inlineStr">
        <is>
          <t>STOCKHOLMS LÄN</t>
        </is>
      </c>
      <c r="E20" t="inlineStr">
        <is>
          <t>VÄRMDÖ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31211-2019</t>
        </is>
      </c>
      <c r="B21" s="1" t="n">
        <v>43640</v>
      </c>
      <c r="C21" s="1" t="n">
        <v>45701</v>
      </c>
      <c r="D21" t="inlineStr">
        <is>
          <t>STOCKHOLMS LÄN</t>
        </is>
      </c>
      <c r="E21" t="inlineStr">
        <is>
          <t>VÄRMDÖ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51938-2019</t>
        </is>
      </c>
      <c r="B22" s="1" t="n">
        <v>43741</v>
      </c>
      <c r="C22" s="1" t="n">
        <v>45701</v>
      </c>
      <c r="D22" t="inlineStr">
        <is>
          <t>STOCKHOLMS LÄN</t>
        </is>
      </c>
      <c r="E22" t="inlineStr">
        <is>
          <t>VÄRMDÖ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1388-2020</t>
        </is>
      </c>
      <c r="B23" s="1" t="n">
        <v>43843</v>
      </c>
      <c r="C23" s="1" t="n">
        <v>45701</v>
      </c>
      <c r="D23" t="inlineStr">
        <is>
          <t>STOCKHOLMS LÄN</t>
        </is>
      </c>
      <c r="E23" t="inlineStr">
        <is>
          <t>VÄRMDÖ</t>
        </is>
      </c>
      <c r="F23" t="inlineStr">
        <is>
          <t>Övriga statliga verk och myndigheter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39033-2020</t>
        </is>
      </c>
      <c r="B24" s="1" t="n">
        <v>44062</v>
      </c>
      <c r="C24" s="1" t="n">
        <v>45701</v>
      </c>
      <c r="D24" t="inlineStr">
        <is>
          <t>STOCKHOLMS LÄN</t>
        </is>
      </c>
      <c r="E24" t="inlineStr">
        <is>
          <t>VÄRMDÖ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61048-2020</t>
        </is>
      </c>
      <c r="B25" s="1" t="n">
        <v>44153</v>
      </c>
      <c r="C25" s="1" t="n">
        <v>45701</v>
      </c>
      <c r="D25" t="inlineStr">
        <is>
          <t>STOCKHOLMS LÄN</t>
        </is>
      </c>
      <c r="E25" t="inlineStr">
        <is>
          <t>VÄRMDÖ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63492-2020</t>
        </is>
      </c>
      <c r="B26" s="1" t="n">
        <v>44161</v>
      </c>
      <c r="C26" s="1" t="n">
        <v>45701</v>
      </c>
      <c r="D26" t="inlineStr">
        <is>
          <t>STOCKHOLMS LÄN</t>
        </is>
      </c>
      <c r="E26" t="inlineStr">
        <is>
          <t>VÄRMDÖ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9024-2021</t>
        </is>
      </c>
      <c r="B27" s="1" t="n">
        <v>44249</v>
      </c>
      <c r="C27" s="1" t="n">
        <v>45701</v>
      </c>
      <c r="D27" t="inlineStr">
        <is>
          <t>STOCKHOLMS LÄN</t>
        </is>
      </c>
      <c r="E27" t="inlineStr">
        <is>
          <t>VÄRMDÖ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14008-2021</t>
        </is>
      </c>
      <c r="B28" s="1" t="n">
        <v>44277</v>
      </c>
      <c r="C28" s="1" t="n">
        <v>45701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statliga verk och myndigheter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14014-2021</t>
        </is>
      </c>
      <c r="B29" s="1" t="n">
        <v>44277</v>
      </c>
      <c r="C29" s="1" t="n">
        <v>45701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14006-2021</t>
        </is>
      </c>
      <c r="B30" s="1" t="n">
        <v>44277</v>
      </c>
      <c r="C30" s="1" t="n">
        <v>45701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15926-2021</t>
        </is>
      </c>
      <c r="B31" s="1" t="n">
        <v>44287</v>
      </c>
      <c r="C31" s="1" t="n">
        <v>45701</v>
      </c>
      <c r="D31" t="inlineStr">
        <is>
          <t>STOCKHOLMS LÄN</t>
        </is>
      </c>
      <c r="E31" t="inlineStr">
        <is>
          <t>VÄRMDÖ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16086-2021</t>
        </is>
      </c>
      <c r="B32" s="1" t="n">
        <v>44288</v>
      </c>
      <c r="C32" s="1" t="n">
        <v>45701</v>
      </c>
      <c r="D32" t="inlineStr">
        <is>
          <t>STOCKHOLMS LÄN</t>
        </is>
      </c>
      <c r="E32" t="inlineStr">
        <is>
          <t>VÄRMDÖ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16090-2021</t>
        </is>
      </c>
      <c r="B33" s="1" t="n">
        <v>44288</v>
      </c>
      <c r="C33" s="1" t="n">
        <v>45701</v>
      </c>
      <c r="D33" t="inlineStr">
        <is>
          <t>STOCKHOLMS LÄN</t>
        </is>
      </c>
      <c r="E33" t="inlineStr">
        <is>
          <t>VÄRMDÖ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16087-2021</t>
        </is>
      </c>
      <c r="B34" s="1" t="n">
        <v>44288</v>
      </c>
      <c r="C34" s="1" t="n">
        <v>45701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16085-2021</t>
        </is>
      </c>
      <c r="B35" s="1" t="n">
        <v>44288</v>
      </c>
      <c r="C35" s="1" t="n">
        <v>45701</v>
      </c>
      <c r="D35" t="inlineStr">
        <is>
          <t>STOCKHOLMS LÄN</t>
        </is>
      </c>
      <c r="E35" t="inlineStr">
        <is>
          <t>VÄRMDÖ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16091-2021</t>
        </is>
      </c>
      <c r="B36" s="1" t="n">
        <v>44288</v>
      </c>
      <c r="C36" s="1" t="n">
        <v>45701</v>
      </c>
      <c r="D36" t="inlineStr">
        <is>
          <t>STOCKHOLMS LÄN</t>
        </is>
      </c>
      <c r="E36" t="inlineStr">
        <is>
          <t>VÄRMDÖ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22479-2021</t>
        </is>
      </c>
      <c r="B37" s="1" t="n">
        <v>44322</v>
      </c>
      <c r="C37" s="1" t="n">
        <v>45701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22708-2021</t>
        </is>
      </c>
      <c r="B38" s="1" t="n">
        <v>44327</v>
      </c>
      <c r="C38" s="1" t="n">
        <v>45701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39073-2021</t>
        </is>
      </c>
      <c r="B39" s="1" t="n">
        <v>44412</v>
      </c>
      <c r="C39" s="1" t="n">
        <v>45701</v>
      </c>
      <c r="D39" t="inlineStr">
        <is>
          <t>STOCKHOLMS LÄN</t>
        </is>
      </c>
      <c r="E39" t="inlineStr">
        <is>
          <t>VÄRMDÖ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39109-2021</t>
        </is>
      </c>
      <c r="B40" s="1" t="n">
        <v>44412</v>
      </c>
      <c r="C40" s="1" t="n">
        <v>45701</v>
      </c>
      <c r="D40" t="inlineStr">
        <is>
          <t>STOCKHOLMS LÄN</t>
        </is>
      </c>
      <c r="E40" t="inlineStr">
        <is>
          <t>VÄRMDÖ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39082-2021</t>
        </is>
      </c>
      <c r="B41" s="1" t="n">
        <v>44412</v>
      </c>
      <c r="C41" s="1" t="n">
        <v>45701</v>
      </c>
      <c r="D41" t="inlineStr">
        <is>
          <t>STOCKHOLMS LÄN</t>
        </is>
      </c>
      <c r="E41" t="inlineStr">
        <is>
          <t>VÄRMDÖ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39070-2021</t>
        </is>
      </c>
      <c r="B42" s="1" t="n">
        <v>44412</v>
      </c>
      <c r="C42" s="1" t="n">
        <v>45701</v>
      </c>
      <c r="D42" t="inlineStr">
        <is>
          <t>STOCKHOLMS LÄN</t>
        </is>
      </c>
      <c r="E42" t="inlineStr">
        <is>
          <t>VÄRMDÖ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45572-2021</t>
        </is>
      </c>
      <c r="B43" s="1" t="n">
        <v>44440</v>
      </c>
      <c r="C43" s="1" t="n">
        <v>45701</v>
      </c>
      <c r="D43" t="inlineStr">
        <is>
          <t>STOCKHOLMS LÄN</t>
        </is>
      </c>
      <c r="E43" t="inlineStr">
        <is>
          <t>VÄRMDÖ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49123-2021</t>
        </is>
      </c>
      <c r="B44" s="1" t="n">
        <v>44453</v>
      </c>
      <c r="C44" s="1" t="n">
        <v>45701</v>
      </c>
      <c r="D44" t="inlineStr">
        <is>
          <t>STOCKHOLMS LÄN</t>
        </is>
      </c>
      <c r="E44" t="inlineStr">
        <is>
          <t>VÄRMDÖ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71317-2021</t>
        </is>
      </c>
      <c r="B45" s="1" t="n">
        <v>44539</v>
      </c>
      <c r="C45" s="1" t="n">
        <v>45701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71318-2021</t>
        </is>
      </c>
      <c r="B46" s="1" t="n">
        <v>44539</v>
      </c>
      <c r="C46" s="1" t="n">
        <v>45701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72097-2021</t>
        </is>
      </c>
      <c r="B47" s="1" t="n">
        <v>44544</v>
      </c>
      <c r="C47" s="1" t="n">
        <v>45701</v>
      </c>
      <c r="D47" t="inlineStr">
        <is>
          <t>STOCKHOLMS LÄN</t>
        </is>
      </c>
      <c r="E47" t="inlineStr">
        <is>
          <t>VÄRMDÖ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72108-2021</t>
        </is>
      </c>
      <c r="B48" s="1" t="n">
        <v>44544</v>
      </c>
      <c r="C48" s="1" t="n">
        <v>45701</v>
      </c>
      <c r="D48" t="inlineStr">
        <is>
          <t>STOCKHOLMS LÄN</t>
        </is>
      </c>
      <c r="E48" t="inlineStr">
        <is>
          <t>VÄRMDÖ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72176-2021</t>
        </is>
      </c>
      <c r="B49" s="1" t="n">
        <v>44544</v>
      </c>
      <c r="C49" s="1" t="n">
        <v>45701</v>
      </c>
      <c r="D49" t="inlineStr">
        <is>
          <t>STOCKHOLMS LÄN</t>
        </is>
      </c>
      <c r="E49" t="inlineStr">
        <is>
          <t>VÄRMDÖ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3057-2022</t>
        </is>
      </c>
      <c r="B50" s="1" t="n">
        <v>44582</v>
      </c>
      <c r="C50" s="1" t="n">
        <v>45701</v>
      </c>
      <c r="D50" t="inlineStr">
        <is>
          <t>STOCKHOLMS LÄN</t>
        </is>
      </c>
      <c r="E50" t="inlineStr">
        <is>
          <t>VÄRMDÖ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3827-2022</t>
        </is>
      </c>
      <c r="B51" s="1" t="n">
        <v>44587</v>
      </c>
      <c r="C51" s="1" t="n">
        <v>45701</v>
      </c>
      <c r="D51" t="inlineStr">
        <is>
          <t>STOCKHOLMS LÄN</t>
        </is>
      </c>
      <c r="E51" t="inlineStr">
        <is>
          <t>VÄRMDÖ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9019-2022</t>
        </is>
      </c>
      <c r="B52" s="1" t="n">
        <v>44615</v>
      </c>
      <c r="C52" s="1" t="n">
        <v>45701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14936-2022</t>
        </is>
      </c>
      <c r="B53" s="1" t="n">
        <v>44657</v>
      </c>
      <c r="C53" s="1" t="n">
        <v>45701</v>
      </c>
      <c r="D53" t="inlineStr">
        <is>
          <t>STOCKHOLMS LÄN</t>
        </is>
      </c>
      <c r="E53" t="inlineStr">
        <is>
          <t>VÄRMDÖ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20641-2022</t>
        </is>
      </c>
      <c r="B54" s="1" t="n">
        <v>44700</v>
      </c>
      <c r="C54" s="1" t="n">
        <v>45701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33046-2022</t>
        </is>
      </c>
      <c r="B55" s="1" t="n">
        <v>44785</v>
      </c>
      <c r="C55" s="1" t="n">
        <v>45701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54056-2022</t>
        </is>
      </c>
      <c r="B56" s="1" t="n">
        <v>44876</v>
      </c>
      <c r="C56" s="1" t="n">
        <v>45701</v>
      </c>
      <c r="D56" t="inlineStr">
        <is>
          <t>STOCKHOLMS LÄN</t>
        </is>
      </c>
      <c r="E56" t="inlineStr">
        <is>
          <t>VÄRMDÖ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45701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45701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45701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45701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45701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45701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45701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45701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45701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45701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45701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45701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45701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45701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45701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45701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45701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45701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45701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45701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45701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45701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45701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45701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45701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45701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45701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55111-2024</t>
        </is>
      </c>
      <c r="B84" s="1" t="n">
        <v>45621</v>
      </c>
      <c r="C84" s="1" t="n">
        <v>45701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2025-02-13T16:31:20Z</dcterms:created>
  <dcterms:modified xmlns:dcterms="http://purl.org/dc/terms/" xmlns:xsi="http://www.w3.org/2001/XMLSchema-instance" xsi:type="dcterms:W3CDTF">2025-02-13T16:31:20Z</dcterms:modified>
</cp:coreProperties>
</file>