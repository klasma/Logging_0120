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46296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46296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46296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46296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46296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46296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46296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46296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46296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46296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30154-2022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44757</v>
      </c>
      <c r="E12" s="1" t="n">
        <v>46296</v>
      </c>
      <c r="F12" t="inlineStr">
        <is>
          <t>STOCKHOLMS LÄN</t>
        </is>
      </c>
      <c r="G12" t="inlineStr">
        <is>
          <t>VÄRMDÖ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Lunglav</t>
        </is>
      </c>
      <c r="W12">
        <f>HYPERLINK("https://klasma.github.io/Logging_0120/artfynd/A 30154-2022 artfynd.xlsx", "A 30154-2022")</f>
        <v/>
      </c>
      <c r="X12">
        <f>HYPERLINK("https://klasma.github.io/Logging_0120/kartor/A 30154-2022 karta.png", "A 30154-2022")</f>
        <v/>
      </c>
      <c r="Y12">
        <f>HYPERLINK("https://klasma.github.io/Logging_0120/kartor_geotiff/A 30154-2022 georefererad karta.tif", "A 30154-2022")</f>
        <v/>
      </c>
      <c r="AA12">
        <f>HYPERLINK("https://klasma.github.io/Logging_0120/klagomål/A 30154-2022 FSC-klagomål.docx", "A 30154-2022")</f>
        <v/>
      </c>
      <c r="AB12">
        <f>HYPERLINK("https://klasma.github.io/Logging_0120/klagomålsmail/A 30154-2022 FSC-klagomål mail.docx", "A 30154-2022")</f>
        <v/>
      </c>
      <c r="AC12">
        <f>HYPERLINK("https://klasma.github.io/Logging_0120/tillsyn/A 30154-2022 tillsynsbegäran.docx", "A 30154-2022")</f>
        <v/>
      </c>
      <c r="AD12">
        <f>HYPERLINK("https://klasma.github.io/Logging_0120/tillsynsmail/A 30154-2022 tillsynsbegäran mail.docx", "A 30154-2022")</f>
        <v/>
      </c>
    </row>
    <row r="13" ht="15" customHeight="1">
      <c r="A13" t="inlineStr">
        <is>
          <t>A 20373-2025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45775</v>
      </c>
      <c r="E13" s="1" t="n">
        <v>46296</v>
      </c>
      <c r="F13" t="inlineStr">
        <is>
          <t>STOCKHOLMS LÄN</t>
        </is>
      </c>
      <c r="G13" t="inlineStr">
        <is>
          <t>VÄRMDÖ</t>
        </is>
      </c>
      <c r="I13" t="n">
        <v>0.5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HYPERLINK("https://klasma.github.io/Logging_0120/artfynd/A 20373-2025 artfynd.xlsx", "A 20373-2025")</f>
        <v/>
      </c>
      <c r="X13">
        <f>HYPERLINK("https://klasma.github.io/Logging_0120/kartor/A 20373-2025 karta.png", "A 20373-2025")</f>
        <v/>
      </c>
      <c r="Y13">
        <f>HYPERLINK("https://klasma.github.io/Logging_0120/kartor_geotiff/A 20373-2025 georefererad karta.tif", "A 20373-2025")</f>
        <v/>
      </c>
      <c r="AA13">
        <f>HYPERLINK("https://klasma.github.io/Logging_0120/klagomål/A 20373-2025 FSC-klagomål.docx", "A 20373-2025")</f>
        <v/>
      </c>
      <c r="AB13">
        <f>HYPERLINK("https://klasma.github.io/Logging_0120/klagomålsmail/A 20373-2025 FSC-klagomål mail.docx", "A 20373-2025")</f>
        <v/>
      </c>
      <c r="AC13">
        <f>HYPERLINK("https://klasma.github.io/Logging_0120/tillsyn/A 20373-2025 tillsynsbegäran.docx", "A 20373-2025")</f>
        <v/>
      </c>
      <c r="AD13">
        <f>HYPERLINK("https://klasma.github.io/Logging_0120/tillsynsmail/A 20373-2025 tillsynsbegäran mail.docx", "A 20373-2025")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46296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46296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46296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46296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46296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46296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72097-2021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44544</v>
      </c>
      <c r="E20" s="1" t="n">
        <v>46296</v>
      </c>
      <c r="F20" t="inlineStr">
        <is>
          <t>STOCKHOLMS LÄN</t>
        </is>
      </c>
      <c r="G20" t="inlineStr">
        <is>
          <t>VÄRMDÖ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3057-2022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44582</v>
      </c>
      <c r="E21" s="1" t="n">
        <v>46296</v>
      </c>
      <c r="F21" t="inlineStr">
        <is>
          <t>STOCKHOLMS LÄN</t>
        </is>
      </c>
      <c r="G21" t="inlineStr">
        <is>
          <t>VÄRMDÖ</t>
        </is>
      </c>
      <c r="I21" t="n">
        <v>7.4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46296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46296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36148-2023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45149</v>
      </c>
      <c r="E24" s="1" t="n">
        <v>46296</v>
      </c>
      <c r="F24" t="inlineStr">
        <is>
          <t>STOCKHOLMS LÄN</t>
        </is>
      </c>
      <c r="G24" t="inlineStr">
        <is>
          <t>VÄRMDÖ</t>
        </is>
      </c>
      <c r="H24" t="inlineStr">
        <is>
          <t>Övriga statliga verk och myndigheter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44918</v>
      </c>
      <c r="E25" s="1" t="n">
        <v>46296</v>
      </c>
      <c r="F25" t="inlineStr">
        <is>
          <t>STOCKHOLMS LÄN</t>
        </is>
      </c>
      <c r="G25" t="inlineStr">
        <is>
          <t>VÄRMDÖ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8756-2023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46296</v>
      </c>
      <c r="F26" t="inlineStr">
        <is>
          <t>STOCKHOLMS LÄN</t>
        </is>
      </c>
      <c r="G26" t="inlineStr">
        <is>
          <t>VÄRMDÖ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30002-2023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45109</v>
      </c>
      <c r="E27" s="1" t="n">
        <v>46296</v>
      </c>
      <c r="F27" t="inlineStr">
        <is>
          <t>STOCKHOLMS LÄN</t>
        </is>
      </c>
      <c r="G27" t="inlineStr">
        <is>
          <t>VÄRMDÖ</t>
        </is>
      </c>
      <c r="I27" t="n">
        <v>4.2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3827-2022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46296</v>
      </c>
      <c r="F28" t="inlineStr">
        <is>
          <t>STOCKHOLMS LÄN</t>
        </is>
      </c>
      <c r="G28" t="inlineStr">
        <is>
          <t>VÄRMDÖ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45417</v>
      </c>
      <c r="E29" s="1" t="n">
        <v>46296</v>
      </c>
      <c r="F29" t="inlineStr">
        <is>
          <t>STOCKHOLMS LÄN</t>
        </is>
      </c>
      <c r="G29" t="inlineStr">
        <is>
          <t>VÄRMDÖ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33061-2024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45517</v>
      </c>
      <c r="E30" s="1" t="n">
        <v>46296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46296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33958-2023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46296</v>
      </c>
      <c r="F32" t="inlineStr">
        <is>
          <t>STOCKHOLMS LÄN</t>
        </is>
      </c>
      <c r="G32" t="inlineStr">
        <is>
          <t>VÄRMDÖ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45417</v>
      </c>
      <c r="E33" s="1" t="n">
        <v>46296</v>
      </c>
      <c r="F33" t="inlineStr">
        <is>
          <t>STOCKHOLMS LÄN</t>
        </is>
      </c>
      <c r="G33" t="inlineStr">
        <is>
          <t>VÄRMDÖ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46296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20053-2023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45054</v>
      </c>
      <c r="E35" s="1" t="n">
        <v>46296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Aktiebolag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46296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49568-2024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45596</v>
      </c>
      <c r="E37" s="1" t="n">
        <v>46296</v>
      </c>
      <c r="F37" t="inlineStr">
        <is>
          <t>STOCKHOLMS LÄN</t>
        </is>
      </c>
      <c r="G37" t="inlineStr">
        <is>
          <t>VÄRMDÖ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45478</v>
      </c>
      <c r="E38" s="1" t="n">
        <v>46296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44938</v>
      </c>
      <c r="E39" s="1" t="n">
        <v>46296</v>
      </c>
      <c r="F39" t="inlineStr">
        <is>
          <t>STOCKHOLMS LÄN</t>
        </is>
      </c>
      <c r="G39" t="inlineStr">
        <is>
          <t>VÄRMDÖ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32230-2025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46296</v>
      </c>
      <c r="F40" t="inlineStr">
        <is>
          <t>STOCKHOLMS LÄN</t>
        </is>
      </c>
      <c r="G40" t="inlineStr">
        <is>
          <t>VÄRMDÖ</t>
        </is>
      </c>
      <c r="I40" t="n">
        <v>7.9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32458-2023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46296</v>
      </c>
      <c r="F41" t="inlineStr">
        <is>
          <t>STOCKHOLMS LÄN</t>
        </is>
      </c>
      <c r="G41" t="inlineStr">
        <is>
          <t>VÄRMDÖ</t>
        </is>
      </c>
      <c r="I41" t="n">
        <v>12.5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24798-2026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46296</v>
      </c>
      <c r="F42" t="inlineStr">
        <is>
          <t>STOCKHOLMS LÄN</t>
        </is>
      </c>
      <c r="G42" t="inlineStr">
        <is>
          <t>VÄRMDÖ</t>
        </is>
      </c>
      <c r="I42" t="n">
        <v>8.1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24622-2026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46296</v>
      </c>
      <c r="F43" t="inlineStr">
        <is>
          <t>STOCKHOLMS LÄN</t>
        </is>
      </c>
      <c r="G43" t="inlineStr">
        <is>
          <t>VÄRMDÖ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46296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46296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46296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46296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46296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46296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46296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46296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46296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46296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2026-10-01T02:01:02Z</dcterms:created>
  <dcterms:modified xmlns:dcterms="http://purl.org/dc/terms/" xmlns:xsi="http://www.w3.org/2001/XMLSchema-instance" xsi:type="dcterms:W3CDTF">2026-10-01T02:01:02Z</dcterms:modified>
</cp:coreProperties>
</file>