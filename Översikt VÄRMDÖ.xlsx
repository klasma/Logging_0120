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46257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46257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46257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46257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46257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46257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46257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46257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46257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46257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33046-2022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44785</v>
      </c>
      <c r="E12" s="1" t="n">
        <v>46257</v>
      </c>
      <c r="F12" t="inlineStr">
        <is>
          <t>STOCKHOLMS LÄN</t>
        </is>
      </c>
      <c r="G12" t="inlineStr">
        <is>
          <t>VÄRMDÖ</t>
        </is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Spillkråka</t>
        </is>
      </c>
      <c r="W12">
        <f>HYPERLINK("https://klasma.github.io/Logging_0120/artfynd/A 33046-2022 artfynd.xlsx", "A 33046-2022")</f>
        <v/>
      </c>
      <c r="X12">
        <f>HYPERLINK("https://klasma.github.io/Logging_0120/kartor/A 33046-2022 karta.png", "A 33046-2022")</f>
        <v/>
      </c>
      <c r="Y12">
        <f>HYPERLINK("https://klasma.github.io/Logging_0120/kartor_geotiff/A 33046-2022 georefererad karta.tif", "A 33046-2022")</f>
        <v/>
      </c>
      <c r="AA12">
        <f>HYPERLINK("https://klasma.github.io/Logging_0120/klagomål/A 33046-2022 FSC-klagomål.docx", "A 33046-2022")</f>
        <v/>
      </c>
      <c r="AB12">
        <f>HYPERLINK("https://klasma.github.io/Logging_0120/klagomålsmail/A 33046-2022 FSC-klagomål mail.docx", "A 33046-2022")</f>
        <v/>
      </c>
      <c r="AC12">
        <f>HYPERLINK("https://klasma.github.io/Logging_0120/tillsyn/A 33046-2022 tillsynsbegäran.docx", "A 33046-2022")</f>
        <v/>
      </c>
      <c r="AD12">
        <f>HYPERLINK("https://klasma.github.io/Logging_0120/tillsynsmail/A 33046-2022 tillsynsbegäran mail.docx", "A 33046-2022")</f>
        <v/>
      </c>
      <c r="AE12">
        <f>HYPERLINK("https://klasma.github.io/Logging_0120/fåglar/A 33046-2022 prioriterade fågelarter.docx", "A 33046-2022")</f>
        <v/>
      </c>
    </row>
    <row r="13" ht="15" customHeight="1">
      <c r="A13" t="inlineStr">
        <is>
          <t>A 31593-2025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45833</v>
      </c>
      <c r="E13" s="1" t="n">
        <v>46257</v>
      </c>
      <c r="F13" t="inlineStr">
        <is>
          <t>STOCKHOLMS LÄN</t>
        </is>
      </c>
      <c r="G13" t="inlineStr">
        <is>
          <t>VÄRMDÖ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Tallticka</t>
        </is>
      </c>
      <c r="W13">
        <f>HYPERLINK("https://klasma.github.io/Logging_0120/artfynd/A 31593-2025 artfynd.xlsx", "A 31593-2025")</f>
        <v/>
      </c>
      <c r="X13">
        <f>HYPERLINK("https://klasma.github.io/Logging_0120/kartor/A 31593-2025 karta.png", "A 31593-2025")</f>
        <v/>
      </c>
      <c r="Y13">
        <f>HYPERLINK("https://klasma.github.io/Logging_0120/kartor_geotiff/A 31593-2025 georefererad karta.tif", "A 31593-2025")</f>
        <v/>
      </c>
      <c r="AA13">
        <f>HYPERLINK("https://klasma.github.io/Logging_0120/klagomål/A 31593-2025 FSC-klagomål.docx", "A 31593-2025")</f>
        <v/>
      </c>
      <c r="AB13">
        <f>HYPERLINK("https://klasma.github.io/Logging_0120/klagomålsmail/A 31593-2025 FSC-klagomål mail.docx", "A 31593-2025")</f>
        <v/>
      </c>
      <c r="AC13">
        <f>HYPERLINK("https://klasma.github.io/Logging_0120/tillsyn/A 31593-2025 tillsynsbegäran.docx", "A 31593-2025")</f>
        <v/>
      </c>
      <c r="AD13">
        <f>HYPERLINK("https://klasma.github.io/Logging_0120/tillsynsmail/A 31593-2025 tillsynsbegäran mail.docx", "A 31593-2025")</f>
        <v/>
      </c>
    </row>
    <row r="14" ht="15" customHeight="1">
      <c r="A14" t="inlineStr">
        <is>
          <t>A 20373-2025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45775</v>
      </c>
      <c r="E14" s="1" t="n">
        <v>46257</v>
      </c>
      <c r="F14" t="inlineStr">
        <is>
          <t>STOCKHOLMS LÄN</t>
        </is>
      </c>
      <c r="G14" t="inlineStr">
        <is>
          <t>VÄRMDÖ</t>
        </is>
      </c>
      <c r="I14" t="n">
        <v>0.5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HYPERLINK("https://klasma.github.io/Logging_0120/artfynd/A 20373-2025 artfynd.xlsx", "A 20373-2025")</f>
        <v/>
      </c>
      <c r="X14">
        <f>HYPERLINK("https://klasma.github.io/Logging_0120/kartor/A 20373-2025 karta.png", "A 20373-2025")</f>
        <v/>
      </c>
      <c r="Y14">
        <f>HYPERLINK("https://klasma.github.io/Logging_0120/kartor_geotiff/A 20373-2025 georefererad karta.tif", "A 20373-2025")</f>
        <v/>
      </c>
      <c r="AA14">
        <f>HYPERLINK("https://klasma.github.io/Logging_0120/klagomål/A 20373-2025 FSC-klagomål.docx", "A 20373-2025")</f>
        <v/>
      </c>
      <c r="AB14">
        <f>HYPERLINK("https://klasma.github.io/Logging_0120/klagomålsmail/A 20373-2025 FSC-klagomål mail.docx", "A 20373-2025")</f>
        <v/>
      </c>
      <c r="AC14">
        <f>HYPERLINK("https://klasma.github.io/Logging_0120/tillsyn/A 20373-2025 tillsynsbegäran.docx", "A 20373-2025")</f>
        <v/>
      </c>
      <c r="AD14">
        <f>HYPERLINK("https://klasma.github.io/Logging_0120/tillsynsmail/A 20373-2025 tillsynsbegäran mail.docx", "A 20373-2025")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46257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46257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46257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46257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46257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46257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46257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46257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46257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46257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17086-2025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46257</v>
      </c>
      <c r="F25" t="inlineStr">
        <is>
          <t>STOCKHOLMS LÄN</t>
        </is>
      </c>
      <c r="G25" t="inlineStr">
        <is>
          <t>VÄRMDÖ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45124</v>
      </c>
      <c r="E26" s="1" t="n">
        <v>46257</v>
      </c>
      <c r="F26" t="inlineStr">
        <is>
          <t>STOCKHOLMS LÄN</t>
        </is>
      </c>
      <c r="G26" t="inlineStr">
        <is>
          <t>VÄRMDÖ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46257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45417</v>
      </c>
      <c r="E28" s="1" t="n">
        <v>46257</v>
      </c>
      <c r="F28" t="inlineStr">
        <is>
          <t>STOCKHOLMS LÄN</t>
        </is>
      </c>
      <c r="G28" t="inlineStr">
        <is>
          <t>VÄRMDÖ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9966-2024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45363</v>
      </c>
      <c r="E29" s="1" t="n">
        <v>46257</v>
      </c>
      <c r="F29" t="inlineStr">
        <is>
          <t>STOCKHOLMS LÄN</t>
        </is>
      </c>
      <c r="G29" t="inlineStr">
        <is>
          <t>VÄRMDÖ</t>
        </is>
      </c>
      <c r="I29" t="n">
        <v>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49568-2024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46257</v>
      </c>
      <c r="F30" t="inlineStr">
        <is>
          <t>STOCKHOLMS LÄN</t>
        </is>
      </c>
      <c r="G30" t="inlineStr">
        <is>
          <t>VÄRMDÖ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28590-2024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45478</v>
      </c>
      <c r="E31" s="1" t="n">
        <v>46257</v>
      </c>
      <c r="F31" t="inlineStr">
        <is>
          <t>STOCKHOLMS LÄN</t>
        </is>
      </c>
      <c r="G31" t="inlineStr">
        <is>
          <t>VÄRMDÖ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32286-2023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46257</v>
      </c>
      <c r="F32" t="inlineStr">
        <is>
          <t>STOCKHOLMS LÄN</t>
        </is>
      </c>
      <c r="G32" t="inlineStr">
        <is>
          <t>VÄRMDÖ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46257</v>
      </c>
      <c r="F33" t="inlineStr">
        <is>
          <t>STOCKHOLMS LÄN</t>
        </is>
      </c>
      <c r="G33" t="inlineStr">
        <is>
          <t>VÄRMDÖ</t>
        </is>
      </c>
      <c r="I33" t="n">
        <v>3.9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32458-2023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46257</v>
      </c>
      <c r="F34" t="inlineStr">
        <is>
          <t>STOCKHOLMS LÄN</t>
        </is>
      </c>
      <c r="G34" t="inlineStr">
        <is>
          <t>VÄRMDÖ</t>
        </is>
      </c>
      <c r="I34" t="n">
        <v>12.5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36148-2023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45149</v>
      </c>
      <c r="E35" s="1" t="n">
        <v>46257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statliga verk och myndigheter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46257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46257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24798-2026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46257</v>
      </c>
      <c r="F38" t="inlineStr">
        <is>
          <t>STOCKHOLMS LÄN</t>
        </is>
      </c>
      <c r="G38" t="inlineStr">
        <is>
          <t>VÄRMDÖ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45417</v>
      </c>
      <c r="E39" s="1" t="n">
        <v>46257</v>
      </c>
      <c r="F39" t="inlineStr">
        <is>
          <t>STOCKHOLMS LÄN</t>
        </is>
      </c>
      <c r="G39" t="inlineStr">
        <is>
          <t>VÄRMDÖ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24622-2026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46171</v>
      </c>
      <c r="E40" s="1" t="n">
        <v>46257</v>
      </c>
      <c r="F40" t="inlineStr">
        <is>
          <t>STOCKHOLMS LÄN</t>
        </is>
      </c>
      <c r="G40" t="inlineStr">
        <is>
          <t>VÄRMDÖ</t>
        </is>
      </c>
      <c r="I40" t="n">
        <v>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46257</v>
      </c>
      <c r="F41" t="inlineStr">
        <is>
          <t>STOCKHOLMS LÄN</t>
        </is>
      </c>
      <c r="G41" t="inlineStr">
        <is>
          <t>VÄRMDÖ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20053-2023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45054</v>
      </c>
      <c r="E42" s="1" t="n">
        <v>46257</v>
      </c>
      <c r="F42" t="inlineStr">
        <is>
          <t>STOCKHOLMS LÄN</t>
        </is>
      </c>
      <c r="G42" t="inlineStr">
        <is>
          <t>VÄRMDÖ</t>
        </is>
      </c>
      <c r="H42" t="inlineStr">
        <is>
          <t>Övriga Aktiebolag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46257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44587</v>
      </c>
      <c r="E44" s="1" t="n">
        <v>46257</v>
      </c>
      <c r="F44" t="inlineStr">
        <is>
          <t>STOCKHOLMS LÄN</t>
        </is>
      </c>
      <c r="G44" t="inlineStr">
        <is>
          <t>VÄRMDÖ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46257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46257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46257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46257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46257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46257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46257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46257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46257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46257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2026-08-23T01:53:32Z</dcterms:created>
  <dcterms:modified xmlns:dcterms="http://purl.org/dc/terms/" xmlns:xsi="http://www.w3.org/2001/XMLSchema-instance" xsi:type="dcterms:W3CDTF">2026-08-23T01:53:32Z</dcterms:modified>
</cp:coreProperties>
</file>