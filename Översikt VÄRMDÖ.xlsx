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30154-2022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44757</v>
      </c>
      <c r="E12" s="1" t="n">
        <v>46308</v>
      </c>
      <c r="F12" t="inlineStr">
        <is>
          <t>STOCKHOLMS LÄN</t>
        </is>
      </c>
      <c r="G12" t="inlineStr">
        <is>
          <t>VÄRMDÖ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Lunglav</t>
        </is>
      </c>
      <c r="W12">
        <f>HYPERLINK("https://klasma.github.io/Logging_0120/artfynd/A 30154-2022 artfynd.xlsx", "A 30154-2022")</f>
        <v/>
      </c>
      <c r="X12">
        <f>HYPERLINK("https://klasma.github.io/Logging_0120/kartor/A 30154-2022 karta.png", "A 30154-2022")</f>
        <v/>
      </c>
      <c r="Y12">
        <f>HYPERLINK("https://klasma.github.io/Logging_0120/kartor_geotiff/A 30154-2022 georefererad karta.tif", "A 30154-2022")</f>
        <v/>
      </c>
      <c r="AA12">
        <f>HYPERLINK("https://klasma.github.io/Logging_0120/klagomål/A 30154-2022 FSC-klagomål.docx", "A 30154-2022")</f>
        <v/>
      </c>
      <c r="AB12">
        <f>HYPERLINK("https://klasma.github.io/Logging_0120/klagomålsmail/A 30154-2022 FSC-klagomål mail.docx", "A 30154-2022")</f>
        <v/>
      </c>
      <c r="AC12">
        <f>HYPERLINK("https://klasma.github.io/Logging_0120/tillsyn/A 30154-2022 tillsynsbegäran.docx", "A 30154-2022")</f>
        <v/>
      </c>
      <c r="AD12">
        <f>HYPERLINK("https://klasma.github.io/Logging_0120/tillsynsmail/A 30154-2022 tillsynsbegäran mail.docx", "A 30154-2022")</f>
        <v/>
      </c>
    </row>
    <row r="13" ht="15" customHeight="1">
      <c r="A13" t="inlineStr">
        <is>
          <t>A 28354-2026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46195</v>
      </c>
      <c r="E13" s="1" t="n">
        <v>46308</v>
      </c>
      <c r="F13" t="inlineStr">
        <is>
          <t>STOCKHOLMS LÄN</t>
        </is>
      </c>
      <c r="G13" t="inlineStr">
        <is>
          <t>VÄRMDÖ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Tallticka</t>
        </is>
      </c>
      <c r="W13">
        <f>HYPERLINK("https://klasma.github.io/Logging_0120/artfynd/A 28354-2026 artfynd.xlsx", "A 28354-2026")</f>
        <v/>
      </c>
      <c r="X13">
        <f>HYPERLINK("https://klasma.github.io/Logging_0120/kartor/A 28354-2026 karta.png", "A 28354-2026")</f>
        <v/>
      </c>
      <c r="Y13">
        <f>HYPERLINK("https://klasma.github.io/Logging_0120/kartor_geotiff/A 28354-2026 georefererad karta.tif", "A 28354-2026")</f>
        <v/>
      </c>
      <c r="AA13">
        <f>HYPERLINK("https://klasma.github.io/Logging_0120/klagomål/A 28354-2026 FSC-klagomål.docx", "A 28354-2026")</f>
        <v/>
      </c>
      <c r="AB13">
        <f>HYPERLINK("https://klasma.github.io/Logging_0120/klagomålsmail/A 28354-2026 FSC-klagomål mail.docx", "A 28354-2026")</f>
        <v/>
      </c>
      <c r="AC13">
        <f>HYPERLINK("https://klasma.github.io/Logging_0120/tillsyn/A 28354-2026 tillsynsbegäran.docx", "A 28354-2026")</f>
        <v/>
      </c>
      <c r="AD13">
        <f>HYPERLINK("https://klasma.github.io/Logging_0120/tillsynsmail/A 28354-2026 tillsynsbegäran mail.docx", "A 28354-2026")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46308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46308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46308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46308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46308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46308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46308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46308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46171</v>
      </c>
      <c r="E24" s="1" t="n">
        <v>46308</v>
      </c>
      <c r="F24" t="inlineStr">
        <is>
          <t>STOCKHOLMS LÄN</t>
        </is>
      </c>
      <c r="G24" t="inlineStr">
        <is>
          <t>VÄRMDÖ</t>
        </is>
      </c>
      <c r="I24" t="n">
        <v>8.1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44918</v>
      </c>
      <c r="E25" s="1" t="n">
        <v>46308</v>
      </c>
      <c r="F25" t="inlineStr">
        <is>
          <t>STOCKHOLMS LÄN</t>
        </is>
      </c>
      <c r="G25" t="inlineStr">
        <is>
          <t>VÄRMDÖ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3827-2022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44587</v>
      </c>
      <c r="E26" s="1" t="n">
        <v>46308</v>
      </c>
      <c r="F26" t="inlineStr">
        <is>
          <t>STOCKHOLMS LÄN</t>
        </is>
      </c>
      <c r="G26" t="inlineStr">
        <is>
          <t>VÄRMDÖ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46308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9966-2024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45363</v>
      </c>
      <c r="E28" s="1" t="n">
        <v>46308</v>
      </c>
      <c r="F28" t="inlineStr">
        <is>
          <t>STOCKHOLMS LÄN</t>
        </is>
      </c>
      <c r="G28" t="inlineStr">
        <is>
          <t>VÄRMDÖ</t>
        </is>
      </c>
      <c r="I28" t="n">
        <v>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45120</v>
      </c>
      <c r="E29" s="1" t="n">
        <v>46308</v>
      </c>
      <c r="F29" t="inlineStr">
        <is>
          <t>STOCKHOLMS LÄN</t>
        </is>
      </c>
      <c r="G29" t="inlineStr">
        <is>
          <t>VÄRMDÖ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45120</v>
      </c>
      <c r="E30" s="1" t="n">
        <v>46308</v>
      </c>
      <c r="F30" t="inlineStr">
        <is>
          <t>STOCKHOLMS LÄN</t>
        </is>
      </c>
      <c r="G30" t="inlineStr">
        <is>
          <t>VÄRMDÖ</t>
        </is>
      </c>
      <c r="I30" t="n">
        <v>12.5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36148-2023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46308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17086-2025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45754</v>
      </c>
      <c r="E32" s="1" t="n">
        <v>46308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statliga verk och myndigheter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45124</v>
      </c>
      <c r="E33" s="1" t="n">
        <v>46308</v>
      </c>
      <c r="F33" t="inlineStr">
        <is>
          <t>STOCKHOLMS LÄN</t>
        </is>
      </c>
      <c r="G33" t="inlineStr">
        <is>
          <t>VÄRMDÖ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45417</v>
      </c>
      <c r="E34" s="1" t="n">
        <v>46308</v>
      </c>
      <c r="F34" t="inlineStr">
        <is>
          <t>STOCKHOLMS LÄN</t>
        </is>
      </c>
      <c r="G34" t="inlineStr">
        <is>
          <t>VÄRMDÖ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46308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46308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46308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46308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46308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46308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46308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46308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46308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46308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46308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46308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46308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46308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46308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46308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46308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46308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