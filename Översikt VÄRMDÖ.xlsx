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46306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46306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46306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46306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46306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46306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46306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46306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46306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46306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46306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46306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46306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45833</v>
      </c>
      <c r="E15" s="1" t="n">
        <v>46306</v>
      </c>
      <c r="F15" t="inlineStr">
        <is>
          <t>STOCKHOLMS LÄN</t>
        </is>
      </c>
      <c r="G15" t="inlineStr">
        <is>
          <t>VÄRMDÖ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HYPERLINK("https://klasma.github.io/Logging_0120/artfynd/A 31593-2025 artfynd.xlsx", "A 31593-2025")</f>
        <v/>
      </c>
      <c r="X15">
        <f>HYPERLINK("https://klasma.github.io/Logging_0120/kartor/A 31593-2025 karta.png", "A 31593-2025")</f>
        <v/>
      </c>
      <c r="Y15">
        <f>HYPERLINK("https://klasma.github.io/Logging_0120/kartor_geotiff/A 31593-2025 georefererad karta.tif", "A 31593-2025")</f>
        <v/>
      </c>
      <c r="AA15">
        <f>HYPERLINK("https://klasma.github.io/Logging_0120/klagomål/A 31593-2025 FSC-klagomål.docx", "A 31593-2025")</f>
        <v/>
      </c>
      <c r="AB15">
        <f>HYPERLINK("https://klasma.github.io/Logging_0120/klagomålsmail/A 31593-2025 FSC-klagomål mail.docx", "A 31593-2025")</f>
        <v/>
      </c>
      <c r="AC15">
        <f>HYPERLINK("https://klasma.github.io/Logging_0120/tillsyn/A 31593-2025 tillsynsbegäran.docx", "A 31593-2025")</f>
        <v/>
      </c>
      <c r="AD15">
        <f>HYPERLINK("https://klasma.github.io/Logging_0120/tillsynsmail/A 31593-2025 tillsynsbegäran mail.docx", "A 31593-2025")</f>
        <v/>
      </c>
    </row>
    <row r="16" ht="15" customHeight="1">
      <c r="A16" t="inlineStr">
        <is>
          <t>A 20373-2025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45775</v>
      </c>
      <c r="E16" s="1" t="n">
        <v>46306</v>
      </c>
      <c r="F16" t="inlineStr">
        <is>
          <t>STOCKHOLMS LÄN</t>
        </is>
      </c>
      <c r="G16" t="inlineStr">
        <is>
          <t>VÄRMDÖ</t>
        </is>
      </c>
      <c r="I16" t="n">
        <v>0.5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HYPERLINK("https://klasma.github.io/Logging_0120/artfynd/A 20373-2025 artfynd.xlsx", "A 20373-2025")</f>
        <v/>
      </c>
      <c r="X16">
        <f>HYPERLINK("https://klasma.github.io/Logging_0120/kartor/A 20373-2025 karta.png", "A 20373-2025")</f>
        <v/>
      </c>
      <c r="Y16">
        <f>HYPERLINK("https://klasma.github.io/Logging_0120/kartor_geotiff/A 20373-2025 georefererad karta.tif", "A 20373-2025")</f>
        <v/>
      </c>
      <c r="AA16">
        <f>HYPERLINK("https://klasma.github.io/Logging_0120/klagomål/A 20373-2025 FSC-klagomål.docx", "A 20373-2025")</f>
        <v/>
      </c>
      <c r="AB16">
        <f>HYPERLINK("https://klasma.github.io/Logging_0120/klagomålsmail/A 20373-2025 FSC-klagomål mail.docx", "A 20373-2025")</f>
        <v/>
      </c>
      <c r="AC16">
        <f>HYPERLINK("https://klasma.github.io/Logging_0120/tillsyn/A 20373-2025 tillsynsbegäran.docx", "A 20373-2025")</f>
        <v/>
      </c>
      <c r="AD16">
        <f>HYPERLINK("https://klasma.github.io/Logging_0120/tillsynsmail/A 20373-2025 tillsynsbegäran mail.docx", "A 20373-2025")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46306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46306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46306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46306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46306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46306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46306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44938</v>
      </c>
      <c r="E24" s="1" t="n">
        <v>46306</v>
      </c>
      <c r="F24" t="inlineStr">
        <is>
          <t>STOCKHOLMS LÄN</t>
        </is>
      </c>
      <c r="G24" t="inlineStr">
        <is>
          <t>VÄRMDÖ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32458-2023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45120</v>
      </c>
      <c r="E25" s="1" t="n">
        <v>46306</v>
      </c>
      <c r="F25" t="inlineStr">
        <is>
          <t>STOCKHOLMS LÄN</t>
        </is>
      </c>
      <c r="G25" t="inlineStr">
        <is>
          <t>VÄRMDÖ</t>
        </is>
      </c>
      <c r="I25" t="n">
        <v>12.5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9966-2024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45363</v>
      </c>
      <c r="E26" s="1" t="n">
        <v>46306</v>
      </c>
      <c r="F26" t="inlineStr">
        <is>
          <t>STOCKHOLMS LÄN</t>
        </is>
      </c>
      <c r="G26" t="inlineStr">
        <is>
          <t>VÄRMDÖ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17623-2024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45417</v>
      </c>
      <c r="E27" s="1" t="n">
        <v>46306</v>
      </c>
      <c r="F27" t="inlineStr">
        <is>
          <t>STOCKHOLMS LÄN</t>
        </is>
      </c>
      <c r="G27" t="inlineStr">
        <is>
          <t>VÄRMDÖ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45417</v>
      </c>
      <c r="E28" s="1" t="n">
        <v>46306</v>
      </c>
      <c r="F28" t="inlineStr">
        <is>
          <t>STOCKHOLMS LÄN</t>
        </is>
      </c>
      <c r="G28" t="inlineStr">
        <is>
          <t>VÄRMDÖ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114-2023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44918</v>
      </c>
      <c r="E29" s="1" t="n">
        <v>46306</v>
      </c>
      <c r="F29" t="inlineStr">
        <is>
          <t>STOCKHOLMS LÄN</t>
        </is>
      </c>
      <c r="G29" t="inlineStr">
        <is>
          <t>VÄRMDÖ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36148-2023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45149</v>
      </c>
      <c r="E30" s="1" t="n">
        <v>46306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33061-2024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45517</v>
      </c>
      <c r="E31" s="1" t="n">
        <v>46306</v>
      </c>
      <c r="F31" t="inlineStr">
        <is>
          <t>STOCKHOLMS LÄN</t>
        </is>
      </c>
      <c r="G31" t="inlineStr">
        <is>
          <t>VÄRMDÖ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32286-2023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46306</v>
      </c>
      <c r="F32" t="inlineStr">
        <is>
          <t>STOCKHOLMS LÄN</t>
        </is>
      </c>
      <c r="G32" t="inlineStr">
        <is>
          <t>VÄRMDÖ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44587</v>
      </c>
      <c r="E33" s="1" t="n">
        <v>46306</v>
      </c>
      <c r="F33" t="inlineStr">
        <is>
          <t>STOCKHOLMS LÄN</t>
        </is>
      </c>
      <c r="G33" t="inlineStr">
        <is>
          <t>VÄRMDÖ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32230-2025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46306</v>
      </c>
      <c r="F34" t="inlineStr">
        <is>
          <t>STOCKHOLMS LÄN</t>
        </is>
      </c>
      <c r="G34" t="inlineStr">
        <is>
          <t>VÄRMDÖ</t>
        </is>
      </c>
      <c r="I34" t="n">
        <v>7.9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49568-2024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45596</v>
      </c>
      <c r="E35" s="1" t="n">
        <v>46306</v>
      </c>
      <c r="F35" t="inlineStr">
        <is>
          <t>STOCKHOLMS LÄN</t>
        </is>
      </c>
      <c r="G35" t="inlineStr">
        <is>
          <t>VÄRMDÖ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45109</v>
      </c>
      <c r="E36" s="1" t="n">
        <v>46306</v>
      </c>
      <c r="F36" t="inlineStr">
        <is>
          <t>STOCKHOLMS LÄN</t>
        </is>
      </c>
      <c r="G36" t="inlineStr">
        <is>
          <t>VÄRMDÖ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17086-2025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46306</v>
      </c>
      <c r="F37" t="inlineStr">
        <is>
          <t>STOCKHOLMS LÄN</t>
        </is>
      </c>
      <c r="G37" t="inlineStr">
        <is>
          <t>VÄRMDÖ</t>
        </is>
      </c>
      <c r="H37" t="inlineStr">
        <is>
          <t>Övriga statliga verk och myndigheter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20053-2023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45054</v>
      </c>
      <c r="E38" s="1" t="n">
        <v>46306</v>
      </c>
      <c r="F38" t="inlineStr">
        <is>
          <t>STOCKHOLMS LÄN</t>
        </is>
      </c>
      <c r="G38" t="inlineStr">
        <is>
          <t>VÄRMDÖ</t>
        </is>
      </c>
      <c r="H38" t="inlineStr">
        <is>
          <t>Övriga Aktiebolag</t>
        </is>
      </c>
      <c r="I38" t="n">
        <v>4.1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46306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46306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46306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24798-2026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46306</v>
      </c>
      <c r="F42" t="inlineStr">
        <is>
          <t>STOCKHOLMS LÄN</t>
        </is>
      </c>
      <c r="G42" t="inlineStr">
        <is>
          <t>VÄRMDÖ</t>
        </is>
      </c>
      <c r="I42" t="n">
        <v>8.1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S 2392-2024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45468</v>
      </c>
      <c r="E43" s="1" t="n">
        <v>46306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378-2025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45695</v>
      </c>
      <c r="E44" s="1" t="n">
        <v>46306</v>
      </c>
      <c r="F44" t="inlineStr">
        <is>
          <t>STOCKHOLMS LÄN</t>
        </is>
      </c>
      <c r="G44" t="inlineStr">
        <is>
          <t>VÄRMDÖ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2391-2024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46306</v>
      </c>
      <c r="F45" t="inlineStr">
        <is>
          <t>STOCKHOLMS LÄN</t>
        </is>
      </c>
      <c r="G45" t="inlineStr">
        <is>
          <t>VÄRMDÖ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2699-2024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45482</v>
      </c>
      <c r="E46" s="1" t="n">
        <v>46306</v>
      </c>
      <c r="F46" t="inlineStr">
        <is>
          <t>STOCKHOLMS LÄN</t>
        </is>
      </c>
      <c r="G46" t="inlineStr">
        <is>
          <t>VÄRMDÖ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377-2025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45695</v>
      </c>
      <c r="E47" s="1" t="n">
        <v>46306</v>
      </c>
      <c r="F47" t="inlineStr">
        <is>
          <t>STOCKHOLMS LÄN</t>
        </is>
      </c>
      <c r="G47" t="inlineStr">
        <is>
          <t>VÄRMDÖ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373-2025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46306</v>
      </c>
      <c r="F48" t="inlineStr">
        <is>
          <t>STOCKHOLMS LÄN</t>
        </is>
      </c>
      <c r="G48" t="inlineStr">
        <is>
          <t>VÄRMDÖ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370-2025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46306</v>
      </c>
      <c r="F49" t="inlineStr">
        <is>
          <t>STOCKHOLMS LÄN</t>
        </is>
      </c>
      <c r="G49" t="inlineStr">
        <is>
          <t>VÄRMDÖ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2698-2024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46306</v>
      </c>
      <c r="F50" t="inlineStr">
        <is>
          <t>STOCKHOLMS LÄN</t>
        </is>
      </c>
      <c r="G50" t="inlineStr">
        <is>
          <t>VÄRMDÖ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374-2025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46306</v>
      </c>
      <c r="F51" t="inlineStr">
        <is>
          <t>STOCKHOLMS LÄN</t>
        </is>
      </c>
      <c r="G51" t="inlineStr">
        <is>
          <t>VÄRMDÖ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>
      <c r="A52" t="inlineStr">
        <is>
          <t>S 2043-2026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46219</v>
      </c>
      <c r="E52" s="1" t="n">
        <v>46306</v>
      </c>
      <c r="F52" t="inlineStr">
        <is>
          <t>STOCKHOLMS LÄN</t>
        </is>
      </c>
      <c r="G52" t="inlineStr">
        <is>
          <t>VÄRMDÖ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2026-10-11T02:02:46Z</dcterms:created>
  <dcterms:modified xmlns:dcterms="http://purl.org/dc/terms/" xmlns:xsi="http://www.w3.org/2001/XMLSchema-instance" xsi:type="dcterms:W3CDTF">2026-10-11T02:02:46Z</dcterms:modified>
</cp:coreProperties>
</file>