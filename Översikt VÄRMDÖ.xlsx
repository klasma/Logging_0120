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46242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46242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46242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46242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46242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46242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46242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46242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46242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46242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46242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20373-2025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45775</v>
      </c>
      <c r="E13" s="1" t="n">
        <v>46242</v>
      </c>
      <c r="F13" t="inlineStr">
        <is>
          <t>STOCKHOLMS LÄN</t>
        </is>
      </c>
      <c r="G13" t="inlineStr">
        <is>
          <t>VÄRMDÖ</t>
        </is>
      </c>
      <c r="I13" t="n">
        <v>0.5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HYPERLINK("https://klasma.github.io/Logging_0120/artfynd/A 20373-2025 artfynd.xlsx", "A 20373-2025")</f>
        <v/>
      </c>
      <c r="X13">
        <f>HYPERLINK("https://klasma.github.io/Logging_0120/kartor/A 20373-2025 karta.png", "A 20373-2025")</f>
        <v/>
      </c>
      <c r="Y13">
        <f>HYPERLINK("https://klasma.github.io/Logging_0120/kartor_geotiff/A 20373-2025 georefererad karta.tif", "A 20373-2025")</f>
        <v/>
      </c>
      <c r="AA13">
        <f>HYPERLINK("https://klasma.github.io/Logging_0120/klagomål/A 20373-2025 FSC-klagomål.docx", "A 20373-2025")</f>
        <v/>
      </c>
      <c r="AB13">
        <f>HYPERLINK("https://klasma.github.io/Logging_0120/klagomålsmail/A 20373-2025 FSC-klagomål mail.docx", "A 20373-2025")</f>
        <v/>
      </c>
      <c r="AC13">
        <f>HYPERLINK("https://klasma.github.io/Logging_0120/tillsyn/A 20373-2025 tillsynsbegäran.docx", "A 20373-2025")</f>
        <v/>
      </c>
      <c r="AD13">
        <f>HYPERLINK("https://klasma.github.io/Logging_0120/tillsynsmail/A 20373-2025 tillsynsbegäran mail.docx", "A 20373-2025")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46242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46242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54056-2022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44876</v>
      </c>
      <c r="E16" s="1" t="n">
        <v>46242</v>
      </c>
      <c r="F16" t="inlineStr">
        <is>
          <t>STOCKHOLMS LÄN</t>
        </is>
      </c>
      <c r="G16" t="inlineStr">
        <is>
          <t>VÄRMDÖ</t>
        </is>
      </c>
      <c r="H16" t="inlineStr">
        <is>
          <t>Kommuner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Tallticka</t>
        </is>
      </c>
      <c r="W16">
        <f>HYPERLINK("https://klasma.github.io/Logging_0120/artfynd/A 54056-2022 artfynd.xlsx", "A 54056-2022")</f>
        <v/>
      </c>
      <c r="X16">
        <f>HYPERLINK("https://klasma.github.io/Logging_0120/kartor/A 54056-2022 karta.png", "A 54056-2022")</f>
        <v/>
      </c>
      <c r="Y16">
        <f>HYPERLINK("https://klasma.github.io/Logging_0120/kartor_geotiff/A 54056-2022 georefererad karta.tif", "A 54056-2022")</f>
        <v/>
      </c>
      <c r="AA16">
        <f>HYPERLINK("https://klasma.github.io/Logging_0120/klagomål/A 54056-2022 FSC-klagomål.docx", "A 54056-2022")</f>
        <v/>
      </c>
      <c r="AB16">
        <f>HYPERLINK("https://klasma.github.io/Logging_0120/klagomålsmail/A 54056-2022 FSC-klagomål mail.docx", "A 54056-2022")</f>
        <v/>
      </c>
      <c r="AC16">
        <f>HYPERLINK("https://klasma.github.io/Logging_0120/tillsyn/A 54056-2022 tillsynsbegäran.docx", "A 54056-2022")</f>
        <v/>
      </c>
      <c r="AD16">
        <f>HYPERLINK("https://klasma.github.io/Logging_0120/tillsynsmail/A 54056-2022 tillsynsbegäran mail.docx", "A 54056-2022")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46242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A 30154-2022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44757</v>
      </c>
      <c r="E18" s="1" t="n">
        <v>46242</v>
      </c>
      <c r="F18" t="inlineStr">
        <is>
          <t>STOCKHOLMS LÄN</t>
        </is>
      </c>
      <c r="G18" t="inlineStr">
        <is>
          <t>VÄRMDÖ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HYPERLINK("https://klasma.github.io/Logging_0120/artfynd/A 30154-2022 artfynd.xlsx", "A 30154-2022")</f>
        <v/>
      </c>
      <c r="X18">
        <f>HYPERLINK("https://klasma.github.io/Logging_0120/kartor/A 30154-2022 karta.png", "A 30154-2022")</f>
        <v/>
      </c>
      <c r="Y18">
        <f>HYPERLINK("https://klasma.github.io/Logging_0120/kartor_geotiff/A 30154-2022 georefererad karta.tif", "A 30154-2022")</f>
        <v/>
      </c>
      <c r="AA18">
        <f>HYPERLINK("https://klasma.github.io/Logging_0120/klagomål/A 30154-2022 FSC-klagomål.docx", "A 30154-2022")</f>
        <v/>
      </c>
      <c r="AB18">
        <f>HYPERLINK("https://klasma.github.io/Logging_0120/klagomålsmail/A 30154-2022 FSC-klagomål mail.docx", "A 30154-2022")</f>
        <v/>
      </c>
      <c r="AC18">
        <f>HYPERLINK("https://klasma.github.io/Logging_0120/tillsyn/A 30154-2022 tillsynsbegäran.docx", "A 30154-2022")</f>
        <v/>
      </c>
      <c r="AD18">
        <f>HYPERLINK("https://klasma.github.io/Logging_0120/tillsynsmail/A 30154-2022 tillsynsbegäran mail.docx", "A 30154-2022")</f>
        <v/>
      </c>
    </row>
    <row r="19" ht="15" customHeight="1">
      <c r="A19" t="inlineStr">
        <is>
          <t>S 2554-2025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45911</v>
      </c>
      <c r="E19" s="1" t="n">
        <v>46242</v>
      </c>
      <c r="F19" t="inlineStr">
        <is>
          <t>STOCKHOLMS LÄN</t>
        </is>
      </c>
      <c r="G19" t="inlineStr">
        <is>
          <t>VÄRMDÖ</t>
        </is>
      </c>
      <c r="I19" t="n">
        <v>12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HYPERLINK("https://klasma.github.io/Logging_0120/artfynd/S 2554-2025 artfynd.xlsx", "S 2554-2025")</f>
        <v/>
      </c>
      <c r="X19">
        <f>HYPERLINK("https://klasma.github.io/Logging_0120/kartor/S 2554-2025 karta.png", "S 2554-2025")</f>
        <v/>
      </c>
      <c r="Y19">
        <f>HYPERLINK("https://klasma.github.io/Logging_0120/kartor_geotiff/S 2554-2025 georefererad karta.tif", "S 2554-2025")</f>
        <v/>
      </c>
      <c r="AA19">
        <f>HYPERLINK("https://klasma.github.io/Logging_0120/klagomål/S 2554-2025 FSC-klagomål.docx", "S 2554-2025")</f>
        <v/>
      </c>
      <c r="AB19">
        <f>HYPERLINK("https://klasma.github.io/Logging_0120/klagomålsmail/S 2554-2025 FSC-klagomål mail.docx", "S 2554-2025")</f>
        <v/>
      </c>
      <c r="AC19">
        <f>HYPERLINK("https://klasma.github.io/Logging_0120/tillsyn/S 2554-2025 tillsynsbegäran.docx", "S 2554-2025")</f>
        <v/>
      </c>
      <c r="AD19">
        <f>HYPERLINK("https://klasma.github.io/Logging_0120/tillsynsmail/S 2554-2025 tillsynsbegäran mail.docx", "S 2554-2025")</f>
        <v/>
      </c>
    </row>
    <row r="20" ht="15" customHeight="1">
      <c r="A20" t="inlineStr">
        <is>
          <t>A 49123-2021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46242</v>
      </c>
      <c r="F20" t="inlineStr">
        <is>
          <t>STOCKHOLMS LÄN</t>
        </is>
      </c>
      <c r="G20" t="inlineStr">
        <is>
          <t>VÄRMDÖ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46242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46242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46242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46242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46242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46242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46242</v>
      </c>
      <c r="F27" t="inlineStr">
        <is>
          <t>STOCKHOLMS LÄN</t>
        </is>
      </c>
      <c r="G27" t="inlineStr">
        <is>
          <t>VÄRMDÖ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46242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46242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46242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46242</v>
      </c>
      <c r="F31" t="inlineStr">
        <is>
          <t>STOCKHOLMS LÄN</t>
        </is>
      </c>
      <c r="G31" t="inlineStr">
        <is>
          <t>VÄRMDÖ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46242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46242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46242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46242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46242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46242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24622-2026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46242</v>
      </c>
      <c r="F38" t="inlineStr">
        <is>
          <t>STOCKHOLMS LÄN</t>
        </is>
      </c>
      <c r="G38" t="inlineStr">
        <is>
          <t>VÄRMDÖ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46242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46242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46242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46242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46242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46242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46242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46242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46242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46242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46242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46242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46242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46242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46242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46242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2026-08-08T01:53:32Z</dcterms:created>
  <dcterms:modified xmlns:dcterms="http://purl.org/dc/terms/" xmlns:xsi="http://www.w3.org/2001/XMLSchema-instance" xsi:type="dcterms:W3CDTF">2026-08-08T01:53:32Z</dcterms:modified>
</cp:coreProperties>
</file>